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</sheets>
  <definedNames>
    <definedName function="false" hidden="true" localSheetId="0" name="_xlnm._FilterDatabase" vbProcedure="false">'Sprint Backlog'!$A$4:$H$48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<sst xmlns="http://schemas.openxmlformats.org/spreadsheetml/2006/main" count="227" uniqueCount="115">
  <si>
    <t xml:space="preserve">Sprint backlog</t>
  </si>
  <si>
    <t xml:space="preserve">Tareas por historia. Fechas y evidencias tomadas de los commits; las estimaciones en horas son de planificación.</t>
  </si>
  <si>
    <t xml:space="preserve">Celdas en amarillo: completar o verificar con información del equipo.</t>
  </si>
  <si>
    <t xml:space="preserve">Sprint</t>
  </si>
  <si>
    <t xml:space="preserve">HU</t>
  </si>
  <si>
    <t xml:space="preserve">Tarea</t>
  </si>
  <si>
    <t xml:space="preserve">Responsable</t>
  </si>
  <si>
    <t xml:space="preserve">Estimación (h)</t>
  </si>
  <si>
    <t xml:space="preserve">Estado</t>
  </si>
  <si>
    <t xml:space="preserve">Fecha de término</t>
  </si>
  <si>
    <t xml:space="preserve">Evidencia</t>
  </si>
  <si>
    <t xml:space="preserve">HU01</t>
  </si>
  <si>
    <t xml:space="preserve">Leer los .xls del ISP como HTML (latin-1) y consolidarlos</t>
  </si>
  <si>
    <t xml:space="preserve">Iván Fernández</t>
  </si>
  <si>
    <t xml:space="preserve">Terminada</t>
  </si>
  <si>
    <t xml:space="preserve">80c9715</t>
  </si>
  <si>
    <t xml:space="preserve">Agregar columna de origen y verificar totales</t>
  </si>
  <si>
    <t xml:space="preserve">Diego Fuentes</t>
  </si>
  <si>
    <t xml:space="preserve">c2da72a</t>
  </si>
  <si>
    <t xml:space="preserve">HU02</t>
  </si>
  <si>
    <t xml:space="preserve">Separar raíz del registro y año</t>
  </si>
  <si>
    <t xml:space="preserve">Extraer forma, familia y dosis (4 campos)</t>
  </si>
  <si>
    <t xml:space="preserve">Dividir combinados en una fila por principio activo</t>
  </si>
  <si>
    <t xml:space="preserve">HU12</t>
  </si>
  <si>
    <t xml:space="preserve">Modelo inicial y docker-compose</t>
  </si>
  <si>
    <t xml:space="preserve">cb801e9</t>
  </si>
  <si>
    <t xml:space="preserve">Ajustar esquema a datos reales (v2) y justificar en NOTAS.md</t>
  </si>
  <si>
    <t xml:space="preserve">376552f</t>
  </si>
  <si>
    <t xml:space="preserve">HU13</t>
  </si>
  <si>
    <t xml:space="preserve">Módulo para poblar la base</t>
  </si>
  <si>
    <t xml:space="preserve">259618e</t>
  </si>
  <si>
    <t xml:space="preserve">Cargador con historial idempotente</t>
  </si>
  <si>
    <t xml:space="preserve">HU03</t>
  </si>
  <si>
    <t xml:space="preserve">Extractor de Dr. Simi (API VTEX, 2 s de pausa)</t>
  </si>
  <si>
    <t xml:space="preserve">21b5918</t>
  </si>
  <si>
    <t xml:space="preserve">Procesar el JSON de Dr. Simi</t>
  </si>
  <si>
    <t xml:space="preserve">0219a74</t>
  </si>
  <si>
    <t xml:space="preserve">Normalizar Dr. Simi a plata</t>
  </si>
  <si>
    <t xml:space="preserve">HU04</t>
  </si>
  <si>
    <t xml:space="preserve">Extractor de Cruz Verde</t>
  </si>
  <si>
    <t xml:space="preserve">dd5ceea</t>
  </si>
  <si>
    <t xml:space="preserve">Normalizar Cruz Verde (principio activo desde el nombre)</t>
  </si>
  <si>
    <t xml:space="preserve">HU08</t>
  </si>
  <si>
    <t xml:space="preserve">Vinculación por raíz del registro</t>
  </si>
  <si>
    <t xml:space="preserve">HU09</t>
  </si>
  <si>
    <t xml:space="preserve">Tres validaciones y archivo de vinculaciones dudosas</t>
  </si>
  <si>
    <t xml:space="preserve">HU10</t>
  </si>
  <si>
    <t xml:space="preserve">Clave de equivalencia y grupos comparables</t>
  </si>
  <si>
    <t xml:space="preserve">HU14</t>
  </si>
  <si>
    <t xml:space="preserve">Endpoint /buscar (nivel 1)</t>
  </si>
  <si>
    <t xml:space="preserve">a53434c</t>
  </si>
  <si>
    <t xml:space="preserve">HU15</t>
  </si>
  <si>
    <t xml:space="preserve">Endpoint /presentacion (nivel 2)</t>
  </si>
  <si>
    <t xml:space="preserve">HU16</t>
  </si>
  <si>
    <t xml:space="preserve">Endpoint /comparar con cálculo de diferencia</t>
  </si>
  <si>
    <t xml:space="preserve">HU11</t>
  </si>
  <si>
    <t xml:space="preserve">Vista con origen de la bioequivalencia</t>
  </si>
  <si>
    <t xml:space="preserve">HU17</t>
  </si>
  <si>
    <t xml:space="preserve">Página React: búsqueda, envases y comparación</t>
  </si>
  <si>
    <t xml:space="preserve">605ecc4</t>
  </si>
  <si>
    <t xml:space="preserve">Sello amarillo / gris en la página</t>
  </si>
  <si>
    <t xml:space="preserve">HU20</t>
  </si>
  <si>
    <t xml:space="preserve">Fecha de muestreo y advertencia</t>
  </si>
  <si>
    <t xml:space="preserve">HU05</t>
  </si>
  <si>
    <t xml:space="preserve">Extractor de Ahumada en dos fases con caché</t>
  </si>
  <si>
    <t xml:space="preserve">d24a1c5</t>
  </si>
  <si>
    <t xml:space="preserve">HU06</t>
  </si>
  <si>
    <t xml:space="preserve">Extractor y normalizador de Profar</t>
  </si>
  <si>
    <t xml:space="preserve">0194174</t>
  </si>
  <si>
    <t xml:space="preserve">HU28</t>
  </si>
  <si>
    <t xml:space="preserve">Mover el código a Desarrollo_Proyecto</t>
  </si>
  <si>
    <t xml:space="preserve">2504ca0 · 9de3504</t>
  </si>
  <si>
    <t xml:space="preserve">HU27</t>
  </si>
  <si>
    <t xml:space="preserve">Muestreo de precios 01-10</t>
  </si>
  <si>
    <t xml:space="preserve">18479d9</t>
  </si>
  <si>
    <t xml:space="preserve">Muestreo de precios 05-10</t>
  </si>
  <si>
    <t xml:space="preserve">105ce2b</t>
  </si>
  <si>
    <t xml:space="preserve">Muestreo de precios 12-10</t>
  </si>
  <si>
    <t xml:space="preserve">cf60fc8</t>
  </si>
  <si>
    <t xml:space="preserve">Pull request develop → main</t>
  </si>
  <si>
    <t xml:space="preserve">PR #8</t>
  </si>
  <si>
    <t xml:space="preserve">HU29</t>
  </si>
  <si>
    <t xml:space="preserve">Recrear volumen Docker con init_v2.sql (puerto 5433)</t>
  </si>
  <si>
    <t xml:space="preserve">Diego Fuentes e Iván Fernández</t>
  </si>
  <si>
    <t xml:space="preserve">Informe 2.4 (09-10-2026)</t>
  </si>
  <si>
    <t xml:space="preserve">Corregir dependencia del driver de PostgreSQL</t>
  </si>
  <si>
    <t xml:space="preserve">Atender error 401 de Cruz Verde (sesión caducada)</t>
  </si>
  <si>
    <t xml:space="preserve">Terminada con observación</t>
  </si>
  <si>
    <t xml:space="preserve">Sprint 2 (sin fecha exacta)</t>
  </si>
  <si>
    <t xml:space="preserve">Ver IMP-12</t>
  </si>
  <si>
    <t xml:space="preserve">HU22</t>
  </si>
  <si>
    <t xml:space="preserve">Mover contraseña y cookies a .env y retirar la cookie del código</t>
  </si>
  <si>
    <t xml:space="preserve">Pendiente</t>
  </si>
  <si>
    <t xml:space="preserve">HU07</t>
  </si>
  <si>
    <t xml:space="preserve">Ajustar Profar al robots.txt (usar sitemap.xml en vez de ?p=)</t>
  </si>
  <si>
    <t xml:space="preserve">Definir con el docente el tratamiento de Cruz Verde</t>
  </si>
  <si>
    <t xml:space="preserve">HU23</t>
  </si>
  <si>
    <t xml:space="preserve">Recalcular métricas con las cuatro farmacias</t>
  </si>
  <si>
    <t xml:space="preserve">HU19</t>
  </si>
  <si>
    <t xml:space="preserve">Mostrar dosis de cada principio activo en combinados</t>
  </si>
  <si>
    <t xml:space="preserve">HU18</t>
  </si>
  <si>
    <t xml:space="preserve">Gráfico de historial en la página</t>
  </si>
  <si>
    <t xml:space="preserve">HU21</t>
  </si>
  <si>
    <t xml:space="preserve">Versionar actualizar.py y extenderlo a las cuatro farmacias</t>
  </si>
  <si>
    <t xml:space="preserve">HU25</t>
  </si>
  <si>
    <t xml:space="preserve">Diseño adaptable a celular</t>
  </si>
  <si>
    <t xml:space="preserve">HU24</t>
  </si>
  <si>
    <t xml:space="preserve">Ejecutar y documentar el plan de pruebas</t>
  </si>
  <si>
    <t xml:space="preserve">HU26</t>
  </si>
  <si>
    <t xml:space="preserve">Publicar en la nube (opcional)</t>
  </si>
  <si>
    <t xml:space="preserve">No iniciada</t>
  </si>
  <si>
    <t xml:space="preserve">Tareas</t>
  </si>
  <si>
    <t xml:space="preserve">Horas estimadas</t>
  </si>
  <si>
    <t xml:space="preserve">Horas terminadas</t>
  </si>
  <si>
    <t xml:space="preserve">Avance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</si>
</sst>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General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95.5" hidden="false" customHeight="false" outlineLevel="0" collapsed="false">
      <c r="A3" s="3" t="s">
        <v>2</v>
      </c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15" hidden="false" customHeight="false" outlineLevel="0" collapsed="false">
      <c r="A5" s="5" t="n">
        <v>1</v>
      </c>
      <c r="B5" s="5" t="s">
        <v>11</v>
      </c>
      <c r="C5" s="5" t="s">
        <v>12</v>
      </c>
      <c r="D5" s="5" t="s">
        <v>13</v>
      </c>
      <c r="E5" s="5" t="n">
        <v>4</v>
      </c>
      <c r="F5" s="5" t="s">
        <v>14</v>
      </c>
      <c r="G5" s="6" t="n">
        <v>46272</v>
      </c>
      <c r="H5" s="5" t="s">
        <v>15</v>
      </c>
    </row>
    <row r="6" customFormat="false" ht="15" hidden="false" customHeight="false" outlineLevel="0" collapsed="false">
      <c r="A6" s="5" t="n">
        <v>1</v>
      </c>
      <c r="B6" s="5" t="s">
        <v>11</v>
      </c>
      <c r="C6" s="5" t="s">
        <v>16</v>
      </c>
      <c r="D6" s="5" t="s">
        <v>17</v>
      </c>
      <c r="E6" s="5" t="n">
        <v>2</v>
      </c>
      <c r="F6" s="5" t="s">
        <v>14</v>
      </c>
      <c r="G6" s="6" t="n">
        <v>46273</v>
      </c>
      <c r="H6" s="5" t="s">
        <v>18</v>
      </c>
    </row>
    <row r="7" customFormat="false" ht="15" hidden="false" customHeight="false" outlineLevel="0" collapsed="false">
      <c r="A7" s="5" t="n">
        <v>1</v>
      </c>
      <c r="B7" s="5" t="s">
        <v>19</v>
      </c>
      <c r="C7" s="5" t="s">
        <v>20</v>
      </c>
      <c r="D7" s="5" t="s">
        <v>17</v>
      </c>
      <c r="E7" s="5" t="n">
        <v>3</v>
      </c>
      <c r="F7" s="5" t="s">
        <v>14</v>
      </c>
      <c r="G7" s="6" t="n">
        <v>46273</v>
      </c>
      <c r="H7" s="5" t="s">
        <v>18</v>
      </c>
    </row>
    <row r="8" customFormat="false" ht="15" hidden="false" customHeight="false" outlineLevel="0" collapsed="false">
      <c r="A8" s="5" t="n">
        <v>1</v>
      </c>
      <c r="B8" s="5" t="s">
        <v>19</v>
      </c>
      <c r="C8" s="5" t="s">
        <v>21</v>
      </c>
      <c r="D8" s="5" t="s">
        <v>17</v>
      </c>
      <c r="E8" s="5" t="n">
        <v>6</v>
      </c>
      <c r="F8" s="5" t="s">
        <v>14</v>
      </c>
      <c r="G8" s="6" t="n">
        <v>46273</v>
      </c>
      <c r="H8" s="5" t="s">
        <v>18</v>
      </c>
    </row>
    <row r="9" customFormat="false" ht="15" hidden="false" customHeight="false" outlineLevel="0" collapsed="false">
      <c r="A9" s="5" t="n">
        <v>1</v>
      </c>
      <c r="B9" s="5" t="s">
        <v>19</v>
      </c>
      <c r="C9" s="5" t="s">
        <v>22</v>
      </c>
      <c r="D9" s="5" t="s">
        <v>17</v>
      </c>
      <c r="E9" s="5" t="n">
        <v>4</v>
      </c>
      <c r="F9" s="5" t="s">
        <v>14</v>
      </c>
      <c r="G9" s="6" t="n">
        <v>46273</v>
      </c>
      <c r="H9" s="5" t="s">
        <v>18</v>
      </c>
    </row>
    <row r="10" customFormat="false" ht="15" hidden="false" customHeight="false" outlineLevel="0" collapsed="false">
      <c r="A10" s="5" t="n">
        <v>1</v>
      </c>
      <c r="B10" s="5" t="s">
        <v>23</v>
      </c>
      <c r="C10" s="5" t="s">
        <v>24</v>
      </c>
      <c r="D10" s="5" t="s">
        <v>13</v>
      </c>
      <c r="E10" s="5" t="n">
        <v>4</v>
      </c>
      <c r="F10" s="5" t="s">
        <v>14</v>
      </c>
      <c r="G10" s="6" t="n">
        <v>46272</v>
      </c>
      <c r="H10" s="5" t="s">
        <v>25</v>
      </c>
    </row>
    <row r="11" customFormat="false" ht="15" hidden="false" customHeight="false" outlineLevel="0" collapsed="false">
      <c r="A11" s="5" t="n">
        <v>1</v>
      </c>
      <c r="B11" s="5" t="s">
        <v>23</v>
      </c>
      <c r="C11" s="5" t="s">
        <v>26</v>
      </c>
      <c r="D11" s="5" t="s">
        <v>17</v>
      </c>
      <c r="E11" s="5" t="n">
        <v>6</v>
      </c>
      <c r="F11" s="5" t="s">
        <v>14</v>
      </c>
      <c r="G11" s="6" t="n">
        <v>46275</v>
      </c>
      <c r="H11" s="5" t="s">
        <v>27</v>
      </c>
    </row>
    <row r="12" customFormat="false" ht="15" hidden="false" customHeight="false" outlineLevel="0" collapsed="false">
      <c r="A12" s="5" t="n">
        <v>1</v>
      </c>
      <c r="B12" s="5" t="s">
        <v>28</v>
      </c>
      <c r="C12" s="5" t="s">
        <v>29</v>
      </c>
      <c r="D12" s="5" t="s">
        <v>13</v>
      </c>
      <c r="E12" s="5" t="n">
        <v>4</v>
      </c>
      <c r="F12" s="5" t="s">
        <v>14</v>
      </c>
      <c r="G12" s="6" t="n">
        <v>46273</v>
      </c>
      <c r="H12" s="5" t="s">
        <v>30</v>
      </c>
    </row>
    <row r="13" customFormat="false" ht="15" hidden="false" customHeight="false" outlineLevel="0" collapsed="false">
      <c r="A13" s="5" t="n">
        <v>1</v>
      </c>
      <c r="B13" s="5" t="s">
        <v>28</v>
      </c>
      <c r="C13" s="5" t="s">
        <v>31</v>
      </c>
      <c r="D13" s="5" t="s">
        <v>17</v>
      </c>
      <c r="E13" s="5" t="n">
        <v>5</v>
      </c>
      <c r="F13" s="5" t="s">
        <v>14</v>
      </c>
      <c r="G13" s="6" t="n">
        <v>46275</v>
      </c>
      <c r="H13" s="5" t="s">
        <v>27</v>
      </c>
    </row>
    <row r="14" customFormat="false" ht="15" hidden="false" customHeight="false" outlineLevel="0" collapsed="false">
      <c r="A14" s="5" t="n">
        <v>1</v>
      </c>
      <c r="B14" s="5" t="s">
        <v>32</v>
      </c>
      <c r="C14" s="5" t="s">
        <v>33</v>
      </c>
      <c r="D14" s="5" t="s">
        <v>17</v>
      </c>
      <c r="E14" s="5" t="n">
        <v>5</v>
      </c>
      <c r="F14" s="5" t="s">
        <v>14</v>
      </c>
      <c r="G14" s="6" t="n">
        <v>46272</v>
      </c>
      <c r="H14" s="5" t="s">
        <v>34</v>
      </c>
    </row>
    <row r="15" customFormat="false" ht="15" hidden="false" customHeight="false" outlineLevel="0" collapsed="false">
      <c r="A15" s="5" t="n">
        <v>1</v>
      </c>
      <c r="B15" s="5" t="s">
        <v>32</v>
      </c>
      <c r="C15" s="5" t="s">
        <v>35</v>
      </c>
      <c r="D15" s="5" t="s">
        <v>13</v>
      </c>
      <c r="E15" s="5" t="n">
        <v>3</v>
      </c>
      <c r="F15" s="5" t="s">
        <v>14</v>
      </c>
      <c r="G15" s="6" t="n">
        <v>46272</v>
      </c>
      <c r="H15" s="5" t="s">
        <v>36</v>
      </c>
    </row>
    <row r="16" customFormat="false" ht="15" hidden="false" customHeight="false" outlineLevel="0" collapsed="false">
      <c r="A16" s="5" t="n">
        <v>1</v>
      </c>
      <c r="B16" s="5" t="s">
        <v>32</v>
      </c>
      <c r="C16" s="5" t="s">
        <v>37</v>
      </c>
      <c r="D16" s="5" t="s">
        <v>17</v>
      </c>
      <c r="E16" s="5" t="n">
        <v>5</v>
      </c>
      <c r="F16" s="5" t="s">
        <v>14</v>
      </c>
      <c r="G16" s="6" t="n">
        <v>46273</v>
      </c>
      <c r="H16" s="5" t="s">
        <v>18</v>
      </c>
    </row>
    <row r="17" customFormat="false" ht="15" hidden="false" customHeight="false" outlineLevel="0" collapsed="false">
      <c r="A17" s="5" t="n">
        <v>1</v>
      </c>
      <c r="B17" s="5" t="s">
        <v>38</v>
      </c>
      <c r="C17" s="5" t="s">
        <v>39</v>
      </c>
      <c r="D17" s="5" t="s">
        <v>13</v>
      </c>
      <c r="E17" s="5" t="n">
        <v>5</v>
      </c>
      <c r="F17" s="5" t="s">
        <v>14</v>
      </c>
      <c r="G17" s="6" t="n">
        <v>46273</v>
      </c>
      <c r="H17" s="5" t="s">
        <v>40</v>
      </c>
    </row>
    <row r="18" customFormat="false" ht="15" hidden="false" customHeight="false" outlineLevel="0" collapsed="false">
      <c r="A18" s="5" t="n">
        <v>1</v>
      </c>
      <c r="B18" s="5" t="s">
        <v>38</v>
      </c>
      <c r="C18" s="5" t="s">
        <v>41</v>
      </c>
      <c r="D18" s="5" t="s">
        <v>17</v>
      </c>
      <c r="E18" s="5" t="n">
        <v>6</v>
      </c>
      <c r="F18" s="5" t="s">
        <v>14</v>
      </c>
      <c r="G18" s="6" t="n">
        <v>46275</v>
      </c>
      <c r="H18" s="5" t="s">
        <v>27</v>
      </c>
    </row>
    <row r="19" customFormat="false" ht="15" hidden="false" customHeight="false" outlineLevel="0" collapsed="false">
      <c r="A19" s="5" t="n">
        <v>1</v>
      </c>
      <c r="B19" s="5" t="s">
        <v>42</v>
      </c>
      <c r="C19" s="5" t="s">
        <v>43</v>
      </c>
      <c r="D19" s="5" t="s">
        <v>17</v>
      </c>
      <c r="E19" s="5" t="n">
        <v>4</v>
      </c>
      <c r="F19" s="5" t="s">
        <v>14</v>
      </c>
      <c r="G19" s="6" t="n">
        <v>46273</v>
      </c>
      <c r="H19" s="5" t="s">
        <v>18</v>
      </c>
    </row>
    <row r="20" customFormat="false" ht="15" hidden="false" customHeight="false" outlineLevel="0" collapsed="false">
      <c r="A20" s="5" t="n">
        <v>1</v>
      </c>
      <c r="B20" s="5" t="s">
        <v>44</v>
      </c>
      <c r="C20" s="5" t="s">
        <v>45</v>
      </c>
      <c r="D20" s="5" t="s">
        <v>17</v>
      </c>
      <c r="E20" s="5" t="n">
        <v>5</v>
      </c>
      <c r="F20" s="5" t="s">
        <v>14</v>
      </c>
      <c r="G20" s="6" t="n">
        <v>46275</v>
      </c>
      <c r="H20" s="5" t="s">
        <v>27</v>
      </c>
    </row>
    <row r="21" customFormat="false" ht="15" hidden="false" customHeight="false" outlineLevel="0" collapsed="false">
      <c r="A21" s="5" t="n">
        <v>1</v>
      </c>
      <c r="B21" s="5" t="s">
        <v>46</v>
      </c>
      <c r="C21" s="5" t="s">
        <v>47</v>
      </c>
      <c r="D21" s="5" t="s">
        <v>17</v>
      </c>
      <c r="E21" s="5" t="n">
        <v>6</v>
      </c>
      <c r="F21" s="5" t="s">
        <v>14</v>
      </c>
      <c r="G21" s="6" t="n">
        <v>46273</v>
      </c>
      <c r="H21" s="5" t="s">
        <v>18</v>
      </c>
    </row>
    <row r="22" customFormat="false" ht="15" hidden="false" customHeight="false" outlineLevel="0" collapsed="false">
      <c r="A22" s="5" t="n">
        <v>1</v>
      </c>
      <c r="B22" s="5" t="s">
        <v>48</v>
      </c>
      <c r="C22" s="5" t="s">
        <v>49</v>
      </c>
      <c r="D22" s="5" t="s">
        <v>17</v>
      </c>
      <c r="E22" s="5" t="n">
        <v>4</v>
      </c>
      <c r="F22" s="5" t="s">
        <v>14</v>
      </c>
      <c r="G22" s="6" t="n">
        <v>46282</v>
      </c>
      <c r="H22" s="5" t="s">
        <v>50</v>
      </c>
    </row>
    <row r="23" customFormat="false" ht="15" hidden="false" customHeight="false" outlineLevel="0" collapsed="false">
      <c r="A23" s="5" t="n">
        <v>1</v>
      </c>
      <c r="B23" s="5" t="s">
        <v>51</v>
      </c>
      <c r="C23" s="5" t="s">
        <v>52</v>
      </c>
      <c r="D23" s="5" t="s">
        <v>17</v>
      </c>
      <c r="E23" s="5" t="n">
        <v>2</v>
      </c>
      <c r="F23" s="5" t="s">
        <v>14</v>
      </c>
      <c r="G23" s="6" t="n">
        <v>46282</v>
      </c>
      <c r="H23" s="5" t="s">
        <v>50</v>
      </c>
    </row>
    <row r="24" customFormat="false" ht="15" hidden="false" customHeight="false" outlineLevel="0" collapsed="false">
      <c r="A24" s="5" t="n">
        <v>1</v>
      </c>
      <c r="B24" s="5" t="s">
        <v>53</v>
      </c>
      <c r="C24" s="5" t="s">
        <v>54</v>
      </c>
      <c r="D24" s="5" t="s">
        <v>17</v>
      </c>
      <c r="E24" s="5" t="n">
        <v>4</v>
      </c>
      <c r="F24" s="5" t="s">
        <v>14</v>
      </c>
      <c r="G24" s="6" t="n">
        <v>46282</v>
      </c>
      <c r="H24" s="5" t="s">
        <v>50</v>
      </c>
    </row>
    <row r="25" customFormat="false" ht="15" hidden="false" customHeight="false" outlineLevel="0" collapsed="false">
      <c r="A25" s="5" t="n">
        <v>1</v>
      </c>
      <c r="B25" s="5" t="s">
        <v>55</v>
      </c>
      <c r="C25" s="5" t="s">
        <v>56</v>
      </c>
      <c r="D25" s="5" t="s">
        <v>17</v>
      </c>
      <c r="E25" s="5" t="n">
        <v>2</v>
      </c>
      <c r="F25" s="5" t="s">
        <v>14</v>
      </c>
      <c r="G25" s="6" t="n">
        <v>46275</v>
      </c>
      <c r="H25" s="5" t="s">
        <v>27</v>
      </c>
    </row>
    <row r="26" customFormat="false" ht="15" hidden="false" customHeight="false" outlineLevel="0" collapsed="false">
      <c r="A26" s="5" t="n">
        <v>1</v>
      </c>
      <c r="B26" s="5" t="s">
        <v>57</v>
      </c>
      <c r="C26" s="5" t="s">
        <v>58</v>
      </c>
      <c r="D26" s="5" t="s">
        <v>17</v>
      </c>
      <c r="E26" s="5" t="n">
        <v>10</v>
      </c>
      <c r="F26" s="5" t="s">
        <v>14</v>
      </c>
      <c r="G26" s="6" t="n">
        <v>46285</v>
      </c>
      <c r="H26" s="5" t="s">
        <v>59</v>
      </c>
    </row>
    <row r="27" customFormat="false" ht="15" hidden="false" customHeight="false" outlineLevel="0" collapsed="false">
      <c r="A27" s="5" t="n">
        <v>1</v>
      </c>
      <c r="B27" s="5" t="s">
        <v>55</v>
      </c>
      <c r="C27" s="5" t="s">
        <v>60</v>
      </c>
      <c r="D27" s="5" t="s">
        <v>17</v>
      </c>
      <c r="E27" s="5" t="n">
        <v>2</v>
      </c>
      <c r="F27" s="5" t="s">
        <v>14</v>
      </c>
      <c r="G27" s="6" t="n">
        <v>46285</v>
      </c>
      <c r="H27" s="5" t="s">
        <v>59</v>
      </c>
    </row>
    <row r="28" customFormat="false" ht="15" hidden="false" customHeight="false" outlineLevel="0" collapsed="false">
      <c r="A28" s="5" t="n">
        <v>1</v>
      </c>
      <c r="B28" s="5" t="s">
        <v>61</v>
      </c>
      <c r="C28" s="5" t="s">
        <v>62</v>
      </c>
      <c r="D28" s="5" t="s">
        <v>17</v>
      </c>
      <c r="E28" s="5" t="n">
        <v>1</v>
      </c>
      <c r="F28" s="5" t="s">
        <v>14</v>
      </c>
      <c r="G28" s="6" t="n">
        <v>46285</v>
      </c>
      <c r="H28" s="5" t="s">
        <v>59</v>
      </c>
    </row>
    <row r="29" customFormat="false" ht="15" hidden="false" customHeight="false" outlineLevel="0" collapsed="false">
      <c r="A29" s="5" t="n">
        <v>1</v>
      </c>
      <c r="B29" s="5" t="s">
        <v>63</v>
      </c>
      <c r="C29" s="5" t="s">
        <v>64</v>
      </c>
      <c r="D29" s="5" t="s">
        <v>17</v>
      </c>
      <c r="E29" s="5" t="n">
        <v>8</v>
      </c>
      <c r="F29" s="5" t="s">
        <v>14</v>
      </c>
      <c r="G29" s="6" t="n">
        <v>46286</v>
      </c>
      <c r="H29" s="5" t="s">
        <v>65</v>
      </c>
    </row>
    <row r="30" customFormat="false" ht="15" hidden="false" customHeight="false" outlineLevel="0" collapsed="false">
      <c r="A30" s="5" t="n">
        <v>1</v>
      </c>
      <c r="B30" s="5" t="s">
        <v>66</v>
      </c>
      <c r="C30" s="5" t="s">
        <v>67</v>
      </c>
      <c r="D30" s="5" t="s">
        <v>13</v>
      </c>
      <c r="E30" s="5" t="n">
        <v>6</v>
      </c>
      <c r="F30" s="5" t="s">
        <v>14</v>
      </c>
      <c r="G30" s="6" t="n">
        <v>46289</v>
      </c>
      <c r="H30" s="5" t="s">
        <v>68</v>
      </c>
    </row>
    <row r="31" customFormat="false" ht="15" hidden="false" customHeight="false" outlineLevel="0" collapsed="false">
      <c r="A31" s="5" t="n">
        <v>1</v>
      </c>
      <c r="B31" s="5" t="s">
        <v>69</v>
      </c>
      <c r="C31" s="5" t="s">
        <v>70</v>
      </c>
      <c r="D31" s="5" t="s">
        <v>13</v>
      </c>
      <c r="E31" s="5" t="n">
        <v>4</v>
      </c>
      <c r="F31" s="5" t="s">
        <v>14</v>
      </c>
      <c r="G31" s="6" t="n">
        <v>46290</v>
      </c>
      <c r="H31" s="5" t="s">
        <v>71</v>
      </c>
    </row>
    <row r="32" customFormat="false" ht="15" hidden="false" customHeight="false" outlineLevel="0" collapsed="false">
      <c r="A32" s="5" t="n">
        <v>2</v>
      </c>
      <c r="B32" s="5" t="s">
        <v>72</v>
      </c>
      <c r="C32" s="5" t="s">
        <v>73</v>
      </c>
      <c r="D32" s="5" t="s">
        <v>13</v>
      </c>
      <c r="E32" s="5" t="n">
        <v>1</v>
      </c>
      <c r="F32" s="5" t="s">
        <v>14</v>
      </c>
      <c r="G32" s="6" t="n">
        <v>46296</v>
      </c>
      <c r="H32" s="5" t="s">
        <v>74</v>
      </c>
    </row>
    <row r="33" customFormat="false" ht="15" hidden="false" customHeight="false" outlineLevel="0" collapsed="false">
      <c r="A33" s="5" t="n">
        <v>2</v>
      </c>
      <c r="B33" s="5" t="s">
        <v>72</v>
      </c>
      <c r="C33" s="5" t="s">
        <v>75</v>
      </c>
      <c r="D33" s="5" t="s">
        <v>13</v>
      </c>
      <c r="E33" s="5" t="n">
        <v>1</v>
      </c>
      <c r="F33" s="5" t="s">
        <v>14</v>
      </c>
      <c r="G33" s="6" t="n">
        <v>46300</v>
      </c>
      <c r="H33" s="5" t="s">
        <v>76</v>
      </c>
    </row>
    <row r="34" customFormat="false" ht="15" hidden="false" customHeight="false" outlineLevel="0" collapsed="false">
      <c r="A34" s="5" t="n">
        <v>2</v>
      </c>
      <c r="B34" s="5" t="s">
        <v>72</v>
      </c>
      <c r="C34" s="5" t="s">
        <v>77</v>
      </c>
      <c r="D34" s="5" t="s">
        <v>13</v>
      </c>
      <c r="E34" s="5" t="n">
        <v>1</v>
      </c>
      <c r="F34" s="5" t="s">
        <v>14</v>
      </c>
      <c r="G34" s="6" t="n">
        <v>46307</v>
      </c>
      <c r="H34" s="5" t="s">
        <v>78</v>
      </c>
    </row>
    <row r="35" customFormat="false" ht="15" hidden="false" customHeight="false" outlineLevel="0" collapsed="false">
      <c r="A35" s="5" t="n">
        <v>2</v>
      </c>
      <c r="B35" s="5" t="s">
        <v>69</v>
      </c>
      <c r="C35" s="5" t="s">
        <v>79</v>
      </c>
      <c r="D35" s="5" t="s">
        <v>13</v>
      </c>
      <c r="E35" s="5" t="n">
        <v>1</v>
      </c>
      <c r="F35" s="5" t="s">
        <v>14</v>
      </c>
      <c r="G35" s="6" t="n">
        <v>46304</v>
      </c>
      <c r="H35" s="5" t="s">
        <v>80</v>
      </c>
    </row>
    <row r="36" customFormat="false" ht="15" hidden="false" customHeight="false" outlineLevel="0" collapsed="false">
      <c r="A36" s="5" t="n">
        <v>2</v>
      </c>
      <c r="B36" s="5" t="s">
        <v>81</v>
      </c>
      <c r="C36" s="5" t="s">
        <v>82</v>
      </c>
      <c r="D36" s="5" t="s">
        <v>83</v>
      </c>
      <c r="E36" s="5" t="n">
        <v>3</v>
      </c>
      <c r="F36" s="5" t="s">
        <v>14</v>
      </c>
      <c r="G36" s="6" t="n">
        <v>46304</v>
      </c>
      <c r="H36" s="5" t="s">
        <v>84</v>
      </c>
    </row>
    <row r="37" customFormat="false" ht="15" hidden="false" customHeight="false" outlineLevel="0" collapsed="false">
      <c r="A37" s="5" t="n">
        <v>2</v>
      </c>
      <c r="B37" s="5" t="s">
        <v>81</v>
      </c>
      <c r="C37" s="5" t="s">
        <v>85</v>
      </c>
      <c r="D37" s="5" t="s">
        <v>83</v>
      </c>
      <c r="E37" s="5" t="n">
        <v>2</v>
      </c>
      <c r="F37" s="5" t="s">
        <v>14</v>
      </c>
      <c r="G37" s="6" t="n">
        <v>46304</v>
      </c>
      <c r="H37" s="5" t="s">
        <v>84</v>
      </c>
    </row>
    <row r="38" customFormat="false" ht="23.85" hidden="false" customHeight="false" outlineLevel="0" collapsed="false">
      <c r="A38" s="5" t="n">
        <v>2</v>
      </c>
      <c r="B38" s="5" t="s">
        <v>38</v>
      </c>
      <c r="C38" s="5" t="s">
        <v>86</v>
      </c>
      <c r="D38" s="5" t="s">
        <v>13</v>
      </c>
      <c r="E38" s="5" t="n">
        <v>2</v>
      </c>
      <c r="F38" s="5" t="s">
        <v>87</v>
      </c>
      <c r="G38" s="6" t="s">
        <v>88</v>
      </c>
      <c r="H38" s="5" t="s">
        <v>89</v>
      </c>
    </row>
    <row r="39" customFormat="false" ht="15" hidden="false" customHeight="false" outlineLevel="0" collapsed="false">
      <c r="A39" s="5" t="n">
        <v>3</v>
      </c>
      <c r="B39" s="5" t="s">
        <v>90</v>
      </c>
      <c r="C39" s="5" t="s">
        <v>91</v>
      </c>
      <c r="D39" s="5" t="s">
        <v>83</v>
      </c>
      <c r="E39" s="5" t="n">
        <v>2</v>
      </c>
      <c r="F39" s="5" t="s">
        <v>92</v>
      </c>
      <c r="G39" s="6"/>
      <c r="H39" s="5"/>
    </row>
    <row r="40" customFormat="false" ht="15" hidden="false" customHeight="false" outlineLevel="0" collapsed="false">
      <c r="A40" s="5" t="n">
        <v>3</v>
      </c>
      <c r="B40" s="5" t="s">
        <v>93</v>
      </c>
      <c r="C40" s="5" t="s">
        <v>94</v>
      </c>
      <c r="D40" s="5" t="s">
        <v>13</v>
      </c>
      <c r="E40" s="5" t="n">
        <v>4</v>
      </c>
      <c r="F40" s="5" t="s">
        <v>92</v>
      </c>
      <c r="G40" s="6"/>
      <c r="H40" s="5"/>
    </row>
    <row r="41" customFormat="false" ht="15" hidden="false" customHeight="false" outlineLevel="0" collapsed="false">
      <c r="A41" s="5" t="n">
        <v>3</v>
      </c>
      <c r="B41" s="5" t="s">
        <v>93</v>
      </c>
      <c r="C41" s="5" t="s">
        <v>95</v>
      </c>
      <c r="D41" s="5" t="s">
        <v>83</v>
      </c>
      <c r="E41" s="5" t="n">
        <v>1</v>
      </c>
      <c r="F41" s="5" t="s">
        <v>92</v>
      </c>
      <c r="G41" s="6"/>
      <c r="H41" s="5"/>
    </row>
    <row r="42" customFormat="false" ht="15" hidden="false" customHeight="false" outlineLevel="0" collapsed="false">
      <c r="A42" s="5" t="n">
        <v>3</v>
      </c>
      <c r="B42" s="5" t="s">
        <v>96</v>
      </c>
      <c r="C42" s="5" t="s">
        <v>97</v>
      </c>
      <c r="D42" s="5" t="s">
        <v>17</v>
      </c>
      <c r="E42" s="5" t="n">
        <v>3</v>
      </c>
      <c r="F42" s="5" t="s">
        <v>92</v>
      </c>
      <c r="G42" s="6"/>
      <c r="H42" s="5"/>
    </row>
    <row r="43" customFormat="false" ht="15" hidden="false" customHeight="false" outlineLevel="0" collapsed="false">
      <c r="A43" s="5" t="n">
        <v>3</v>
      </c>
      <c r="B43" s="5" t="s">
        <v>98</v>
      </c>
      <c r="C43" s="5" t="s">
        <v>99</v>
      </c>
      <c r="D43" s="5" t="s">
        <v>17</v>
      </c>
      <c r="E43" s="5" t="n">
        <v>3</v>
      </c>
      <c r="F43" s="5" t="s">
        <v>92</v>
      </c>
      <c r="G43" s="6"/>
      <c r="H43" s="5"/>
    </row>
    <row r="44" customFormat="false" ht="15" hidden="false" customHeight="false" outlineLevel="0" collapsed="false">
      <c r="A44" s="5" t="n">
        <v>3</v>
      </c>
      <c r="B44" s="5" t="s">
        <v>100</v>
      </c>
      <c r="C44" s="5" t="s">
        <v>101</v>
      </c>
      <c r="D44" s="5" t="s">
        <v>13</v>
      </c>
      <c r="E44" s="5" t="n">
        <v>5</v>
      </c>
      <c r="F44" s="5" t="s">
        <v>92</v>
      </c>
      <c r="G44" s="6"/>
      <c r="H44" s="5"/>
    </row>
    <row r="45" customFormat="false" ht="15" hidden="false" customHeight="false" outlineLevel="0" collapsed="false">
      <c r="A45" s="5" t="n">
        <v>3</v>
      </c>
      <c r="B45" s="5" t="s">
        <v>102</v>
      </c>
      <c r="C45" s="5" t="s">
        <v>103</v>
      </c>
      <c r="D45" s="5" t="s">
        <v>13</v>
      </c>
      <c r="E45" s="5" t="n">
        <v>5</v>
      </c>
      <c r="F45" s="5" t="s">
        <v>92</v>
      </c>
      <c r="G45" s="6"/>
      <c r="H45" s="5"/>
    </row>
    <row r="46" customFormat="false" ht="15" hidden="false" customHeight="false" outlineLevel="0" collapsed="false">
      <c r="A46" s="5" t="n">
        <v>3</v>
      </c>
      <c r="B46" s="5" t="s">
        <v>104</v>
      </c>
      <c r="C46" s="5" t="s">
        <v>105</v>
      </c>
      <c r="D46" s="5" t="s">
        <v>13</v>
      </c>
      <c r="E46" s="5" t="n">
        <v>5</v>
      </c>
      <c r="F46" s="5" t="s">
        <v>92</v>
      </c>
      <c r="G46" s="6"/>
      <c r="H46" s="5"/>
    </row>
    <row r="47" customFormat="false" ht="15" hidden="false" customHeight="false" outlineLevel="0" collapsed="false">
      <c r="A47" s="5" t="n">
        <v>4</v>
      </c>
      <c r="B47" s="5" t="s">
        <v>106</v>
      </c>
      <c r="C47" s="5" t="s">
        <v>107</v>
      </c>
      <c r="D47" s="5" t="s">
        <v>83</v>
      </c>
      <c r="E47" s="5" t="n">
        <v>8</v>
      </c>
      <c r="F47" s="5" t="s">
        <v>92</v>
      </c>
      <c r="G47" s="6"/>
      <c r="H47" s="5"/>
    </row>
    <row r="48" customFormat="false" ht="15" hidden="false" customHeight="false" outlineLevel="0" collapsed="false">
      <c r="A48" s="5" t="n">
        <v>4</v>
      </c>
      <c r="B48" s="5" t="s">
        <v>108</v>
      </c>
      <c r="C48" s="5" t="s">
        <v>109</v>
      </c>
      <c r="D48" s="5" t="s">
        <v>83</v>
      </c>
      <c r="E48" s="5" t="n">
        <v>8</v>
      </c>
      <c r="F48" s="5" t="s">
        <v>110</v>
      </c>
      <c r="G48" s="6"/>
      <c r="H48" s="5"/>
    </row>
    <row r="50" customFormat="false" ht="30" hidden="false" customHeight="true" outlineLevel="0" collapsed="false">
      <c r="C50" s="4" t="s">
        <v>3</v>
      </c>
      <c r="D50" s="4" t="s">
        <v>111</v>
      </c>
      <c r="E50" s="4" t="s">
        <v>112</v>
      </c>
      <c r="F50" s="4" t="s">
        <v>113</v>
      </c>
      <c r="G50" s="4" t="s">
        <v>114</v>
      </c>
    </row>
    <row r="51" customFormat="false" ht="15" hidden="false" customHeight="false" outlineLevel="0" collapsed="false">
      <c r="C51" s="7" t="n">
        <v>1</v>
      </c>
      <c r="D51" s="7" t="n">
        <f aca="false">COUNTIF($A$5:$A$48,C51)</f>
        <v>27</v>
      </c>
      <c r="E51" s="7" t="n">
        <f aca="false">SUMIF($A$5:$A$48,C51,$E$5:$E$48)</f>
        <v>120</v>
      </c>
      <c r="F51" s="8" t="n">
        <f aca="false">SUMIFS($E$5:$E$48,$A$5:$A$48,C51,$F$5:$F$48,"Terminada*")</f>
        <v>120</v>
      </c>
      <c r="G51" s="9" t="n">
        <f aca="false">IF(E51=0,0,F51/E51)</f>
        <v>1</v>
      </c>
    </row>
    <row r="52" customFormat="false" ht="15" hidden="false" customHeight="false" outlineLevel="0" collapsed="false">
      <c r="C52" s="7" t="n">
        <v>2</v>
      </c>
      <c r="D52" s="7" t="n">
        <f aca="false">COUNTIF($A$5:$A$48,C52)</f>
        <v>7</v>
      </c>
      <c r="E52" s="7" t="n">
        <f aca="false">SUMIF($A$5:$A$48,C52,$E$5:$E$48)</f>
        <v>11</v>
      </c>
      <c r="F52" s="8" t="n">
        <f aca="false">SUMIFS($E$5:$E$48,$A$5:$A$48,C52,$F$5:$F$48,"Terminada*")</f>
        <v>11</v>
      </c>
      <c r="G52" s="9" t="n">
        <f aca="false">IF(E52=0,0,F52/E52)</f>
        <v>1</v>
      </c>
    </row>
    <row r="53" customFormat="false" ht="15" hidden="false" customHeight="false" outlineLevel="0" collapsed="false">
      <c r="C53" s="7" t="n">
        <v>3</v>
      </c>
      <c r="D53" s="7" t="n">
        <f aca="false">COUNTIF($A$5:$A$48,C53)</f>
        <v>8</v>
      </c>
      <c r="E53" s="7" t="n">
        <f aca="false">SUMIF($A$5:$A$48,C53,$E$5:$E$48)</f>
        <v>28</v>
      </c>
      <c r="F53" s="8" t="n">
        <f aca="false">SUMIFS($E$5:$E$48,$A$5:$A$48,C53,$F$5:$F$48,"Terminada*")</f>
        <v>0</v>
      </c>
      <c r="G53" s="9" t="n">
        <f aca="false">IF(E53=0,0,F53/E53)</f>
        <v>0</v>
      </c>
    </row>
    <row r="54" customFormat="false" ht="15" hidden="false" customHeight="false" outlineLevel="0" collapsed="false">
      <c r="C54" s="7" t="n">
        <v>4</v>
      </c>
      <c r="D54" s="7" t="n">
        <f aca="false">COUNTIF($A$5:$A$48,C54)</f>
        <v>2</v>
      </c>
      <c r="E54" s="7" t="n">
        <f aca="false">SUMIF($A$5:$A$48,C54,$E$5:$E$48)</f>
        <v>16</v>
      </c>
      <c r="F54" s="8" t="n">
        <f aca="false">SUMIFS($E$5:$E$48,$A$5:$A$48,C54,$F$5:$F$48,"Terminada*")</f>
        <v>0</v>
      </c>
      <c r="G54" s="9" t="n">
        <f aca="false">IF(E54=0,0,F54/E54)</f>
        <v>0</v>
      </c>
    </row>
  </sheetData>
  <autoFilter ref="A4:H48"/>
  <conditionalFormatting sqref="F5:F48">
    <cfRule type="expression" priority="2" aboveAverage="0" equalAverage="0" bottom="0" percent="0" rank="0" text="" dxfId="6">
      <formula>ISNUMBER(SEARCH("Terminad",F5))</formula>
    </cfRule>
    <cfRule type="expression" priority="3" aboveAverage="0" equalAverage="0" bottom="0" percent="0" rank="0" text="" dxfId="6">
      <formula>ISNUMBER(SEARCH("Cerrado",F5))</formula>
    </cfRule>
    <cfRule type="expression" priority="4" aboveAverage="0" equalAverage="0" bottom="0" percent="0" rank="0" text="" dxfId="6">
      <formula>ISNUMBER(SEARCH("Completad",F5))</formula>
    </cfRule>
    <cfRule type="expression" priority="5" aboveAverage="0" equalAverage="0" bottom="0" percent="0" rank="0" text="" dxfId="6">
      <formula>ISNUMBER(SEARCH("Implementado",F5))</formula>
    </cfRule>
    <cfRule type="expression" priority="6" aboveAverage="0" equalAverage="0" bottom="0" percent="0" rank="0" text="" dxfId="6">
      <formula>ISNUMBER(SEARCH("Controlado",F5))</formula>
    </cfRule>
    <cfRule type="expression" priority="7" aboveAverage="0" equalAverage="0" bottom="0" percent="0" rank="0" text="" dxfId="7">
      <formula>ISNUMBER(SEARCH("En curso",F5))</formula>
    </cfRule>
    <cfRule type="expression" priority="8" aboveAverage="0" equalAverage="0" bottom="0" percent="0" rank="0" text="" dxfId="8">
      <formula>ISNUMBER(SEARCH("Abierto",F5))</formula>
    </cfRule>
    <cfRule type="expression" priority="9" aboveAverage="0" equalAverage="0" bottom="0" percent="0" rank="0" text="" dxfId="9">
      <formula>ISNUMBER(SEARCH("Pendiente",F5))</formula>
    </cfRule>
    <cfRule type="expression" priority="10" aboveAverage="0" equalAverage="0" bottom="0" percent="0" rank="0" text="" dxfId="9">
      <formula>ISNUMBER(SEARCH("No iniciad",F5))</formula>
    </cfRule>
    <cfRule type="expression" priority="11" aboveAverage="0" equalAverage="0" bottom="0" percent="0" rank="0" text="" dxfId="7">
      <formula>ISNUMBER(SEARCH("En revisión",F5))</formula>
    </cfRule>
    <cfRule type="expression" priority="12" aboveAverage="0" equalAverage="0" bottom="0" percent="0" rank="0" text="" dxfId="7">
      <formula>ISNUMBER(SEARCH("Activo",F5))</formula>
    </cfRule>
  </conditionalFormatting>
  <dataValidations count="1">
    <dataValidation allowBlank="true" errorStyle="stop" operator="between" showDropDown="false" showErrorMessage="false" showInputMessage="false" sqref="F5:F68" type="list">
      <formula1>"Terminada,Terminada con observación,En curso,Pendiente,No iniciada"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2026-10-16T01:26:37Z</dcterms:created>
  <dc:creator>openpyxl</dc:creator>
  <dc:description/>
  <dc:language>en-US</dc:language>
  <cp:lastModifiedBy/>
  <dcterms:modified xsi:type="dcterms:W3CDTF">2026-10-16T01:26:38Z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