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rint Planning" sheetId="1" state="visible" r:id="rId3"/>
    <sheet name="Parámetros" sheetId="2" state="visible" r:id="rId4"/>
    <sheet name="Historias de Usuario" sheetId="3" state="visible" r:id="rId5"/>
  </sheets>
  <definedNames>
    <definedName function="false" hidden="true" localSheetId="2" name="_xlnm._FilterDatabase" vbProcedure="false">'Historias de Usuario'!$A$4:$M$33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<sst xmlns="http://schemas.openxmlformats.org/spreadsheetml/2006/main" count="419" uniqueCount="188">
  <si>
    <t xml:space="preserve">Sprint Planning</t>
  </si>
  <si>
    <t xml:space="preserve">Plan original de cada sprint (Guía 1.5) y lo que se incorporó durante su ejecución.</t>
  </si>
  <si>
    <t xml:space="preserve">Sprint 1</t>
  </si>
  <si>
    <t xml:space="preserve">Fechas</t>
  </si>
  <si>
    <t xml:space="preserve">Semanas 5 a 7</t>
  </si>
  <si>
    <t xml:space="preserve">Objetivo del sprint</t>
  </si>
  <si>
    <t xml:space="preserve">Contar con el catálogo oficial del ISP normalizado y la base de datos lista para recibir datos.</t>
  </si>
  <si>
    <t xml:space="preserve">Capacidad (horas)</t>
  </si>
  <si>
    <t xml:space="preserve">2 integrantes × horas semanales × 3 semanas</t>
  </si>
  <si>
    <t xml:space="preserve">Compromiso</t>
  </si>
  <si>
    <t xml:space="preserve">ID</t>
  </si>
  <si>
    <t xml:space="preserve">Historia</t>
  </si>
  <si>
    <t xml:space="preserve">Story points</t>
  </si>
  <si>
    <t xml:space="preserve">Estado actual</t>
  </si>
  <si>
    <t xml:space="preserve">Sprint en que se terminó</t>
  </si>
  <si>
    <t xml:space="preserve">Planificada</t>
  </si>
  <si>
    <t xml:space="preserve">HU01</t>
  </si>
  <si>
    <t xml:space="preserve">HU02</t>
  </si>
  <si>
    <t xml:space="preserve">HU07</t>
  </si>
  <si>
    <t xml:space="preserve">HU12</t>
  </si>
  <si>
    <t xml:space="preserve">HU13</t>
  </si>
  <si>
    <t xml:space="preserve">Incorporada durante el sprint</t>
  </si>
  <si>
    <t xml:space="preserve">HU03</t>
  </si>
  <si>
    <t xml:space="preserve">HU04</t>
  </si>
  <si>
    <t xml:space="preserve">HU05</t>
  </si>
  <si>
    <t xml:space="preserve">HU06</t>
  </si>
  <si>
    <t xml:space="preserve">HU08</t>
  </si>
  <si>
    <t xml:space="preserve">HU09</t>
  </si>
  <si>
    <t xml:space="preserve">HU10</t>
  </si>
  <si>
    <t xml:space="preserve">HU11</t>
  </si>
  <si>
    <t xml:space="preserve">HU14</t>
  </si>
  <si>
    <t xml:space="preserve">HU15</t>
  </si>
  <si>
    <t xml:space="preserve">HU16</t>
  </si>
  <si>
    <t xml:space="preserve">HU17</t>
  </si>
  <si>
    <t xml:space="preserve">HU20</t>
  </si>
  <si>
    <t xml:space="preserve">Story points planificados</t>
  </si>
  <si>
    <t xml:space="preserve">Story points terminados en el sprint (velocidad)</t>
  </si>
  <si>
    <t xml:space="preserve">Resultado</t>
  </si>
  <si>
    <t xml:space="preserve">Se cumplió el objetivo y se adelantó trabajo de los sprints 2 y 3: cuatro extractores, capa oro, API y primera versión de la página.</t>
  </si>
  <si>
    <t xml:space="preserve">Sprint 2</t>
  </si>
  <si>
    <t xml:space="preserve">Semanas 8 a 10</t>
  </si>
  <si>
    <t xml:space="preserve">Integrar las farmacias y obtener los primeros grupos de productos comparables.</t>
  </si>
  <si>
    <t xml:space="preserve">HU27</t>
  </si>
  <si>
    <t xml:space="preserve">HU28</t>
  </si>
  <si>
    <t xml:space="preserve">HU29</t>
  </si>
  <si>
    <t xml:space="preserve">Al estar integradas las farmacias, el sprint se usó para muestrear precios periódicamente, ordenar el repositorio, estabilizar el entorno (Docker y dependencias) y preparar los entregables de la Fase 2.</t>
  </si>
  <si>
    <t xml:space="preserve">Sprint 3</t>
  </si>
  <si>
    <t xml:space="preserve">Semanas 11 a 13</t>
  </si>
  <si>
    <t xml:space="preserve">Cerrar brechas de calidad y cumplimiento: métricas con las cuatro farmacias, credenciales fuera del repositorio, ajustes de extracción y mejoras de la página.</t>
  </si>
  <si>
    <t xml:space="preserve">HU18</t>
  </si>
  <si>
    <t xml:space="preserve">HU19</t>
  </si>
  <si>
    <t xml:space="preserve">HU22</t>
  </si>
  <si>
    <t xml:space="preserve">HU23</t>
  </si>
  <si>
    <t xml:space="preserve">HU25</t>
  </si>
  <si>
    <t xml:space="preserve">HU21</t>
  </si>
  <si>
    <t xml:space="preserve">Sprint planificado (semanas 11 a 13). El resultado se registra en la Sprint Review del 08-11-2026.</t>
  </si>
  <si>
    <t xml:space="preserve">Sprint 4</t>
  </si>
  <si>
    <t xml:space="preserve">Semanas 14 a 16</t>
  </si>
  <si>
    <t xml:space="preserve">Asegurar calidad, automatizar la actualización y documentar para la entrega final.</t>
  </si>
  <si>
    <t xml:space="preserve">HU24</t>
  </si>
  <si>
    <t xml:space="preserve">HU26</t>
  </si>
  <si>
    <t xml:space="preserve">Sprint planificado (semanas 14 a 16). El resultado se registra en la Sprint Review del 29-11-2026.</t>
  </si>
  <si>
    <t xml:space="preserve">Parámetros del calendario</t>
  </si>
  <si>
    <t xml:space="preserve">Cambia la fecha de inicio y todas las fechas de sprint se recalculan.</t>
  </si>
  <si>
    <t xml:space="preserve">Inicio del semestre (lunes de la semana 1)</t>
  </si>
  <si>
    <t xml:space="preserve">Supuesto: verificar con el calendario de la asignatura.</t>
  </si>
  <si>
    <t xml:space="preserve">Fecha de corte de estos documentos</t>
  </si>
  <si>
    <t xml:space="preserve">Horas semanales por integrante</t>
  </si>
  <si>
    <t xml:space="preserve">Supuesto para calcular la capacidad: ajustar.</t>
  </si>
  <si>
    <t xml:space="preserve">Sprint</t>
  </si>
  <si>
    <t xml:space="preserve">Semana inicio</t>
  </si>
  <si>
    <t xml:space="preserve">Semana fin</t>
  </si>
  <si>
    <t xml:space="preserve">Fecha inicio</t>
  </si>
  <si>
    <t xml:space="preserve">Fecha fin</t>
  </si>
  <si>
    <t xml:space="preserve">Objetivo planificado</t>
  </si>
  <si>
    <t xml:space="preserve">Historias de usuario</t>
  </si>
  <si>
    <t xml:space="preserve">Estimación en story points (Fibonacci). Prioridad MoSCoW. Valor de negocio de 1 a 5.</t>
  </si>
  <si>
    <t xml:space="preserve">Celdas en amarillo: completar o verificar con información del equipo.</t>
  </si>
  <si>
    <t xml:space="preserve">Épica</t>
  </si>
  <si>
    <t xml:space="preserve">Historia de usuario</t>
  </si>
  <si>
    <t xml:space="preserve">Criterios de aceptación</t>
  </si>
  <si>
    <t xml:space="preserve">Prioridad</t>
  </si>
  <si>
    <t xml:space="preserve">Valor</t>
  </si>
  <si>
    <t xml:space="preserve">Sprint planificado</t>
  </si>
  <si>
    <t xml:space="preserve">Sprint real</t>
  </si>
  <si>
    <t xml:space="preserve">Estado</t>
  </si>
  <si>
    <t xml:space="preserve">Responsable</t>
  </si>
  <si>
    <t xml:space="preserve">Fecha de término</t>
  </si>
  <si>
    <t xml:space="preserve">Evidencia (commit)</t>
  </si>
  <si>
    <t xml:space="preserve">E1</t>
  </si>
  <si>
    <t xml:space="preserve">Como equipo de datos, quiero consolidar los tres listados del ISP (referentes, alternativas e híbridos) en un solo archivo, para trabajar con una única fuente oficial.</t>
  </si>
  <si>
    <t xml:space="preserve">• Dado los tres archivos del ISP (HTML con extensión .xls, codificación latin-1), cuando ejecuto consolidar_isp.py, entonces obtengo un único archivo con una columna que indica el listado de origen.
• El total de filas coincide con la suma de los tres listados.</t>
  </si>
  <si>
    <t xml:space="preserve">Must</t>
  </si>
  <si>
    <t xml:space="preserve">Terminada</t>
  </si>
  <si>
    <t xml:space="preserve">Diego Fuentes e Iván Fernández</t>
  </si>
  <si>
    <t xml:space="preserve">80c9715 · c2da72a</t>
  </si>
  <si>
    <t xml:space="preserve">Como equipo de datos, quiero separar registro y año, forma farmacéutica, dosis y principios activos del catálogo del ISP, para cargar medicamentos y composición en tablas separadas.</t>
  </si>
  <si>
    <t xml:space="preserve">• Dado un registro "F-8660/11", entonces la raíz guardada es "F-8660".
• Dada una dosis "160 mg/5 mL", entonces se guarda en cuatro campos (valor, unidad, referencia, unidad de referencia).
• Dado un producto combinado, entonces se genera una fila de composición por principio activo.</t>
  </si>
  <si>
    <t xml:space="preserve">Diego Fuentes</t>
  </si>
  <si>
    <t xml:space="preserve">c2da72a</t>
  </si>
  <si>
    <t xml:space="preserve">E2</t>
  </si>
  <si>
    <t xml:space="preserve">Como paciente, quiero que BioEqui incluya los precios de Dr. Simi, para compararlos con los de otras farmacias.</t>
  </si>
  <si>
    <t xml:space="preserve">• Dado el catálogo público de Dr. Simi (API de la plataforma VTEX), cuando se ejecuta la descarga, entonces se recorren sus categorías con 2 s de pausa y un User-Agent que identifica al proyecto académico.
• Cada dato se extrae por nombre de campo, no por posición.</t>
  </si>
  <si>
    <t xml:space="preserve">21b5918 · 0219a74 · c2da72a</t>
  </si>
  <si>
    <t xml:space="preserve">Como paciente, quiero que BioEqui incluya los precios de Cruz Verde, para comparar con la cadena de mayor catálogo.</t>
  </si>
  <si>
    <t xml:space="preserve">• Dado el catálogo de Cruz Verde, cuando se normaliza, entonces el principio activo se identifica en el nombre usando la lista oficial del ISP.
• Ante errores 429/5xx el extractor reintenta hasta 3 veces antes de detenerse.
• La extracción cumple las reglas de la épica E8 (ver HU07 e IMP-12).</t>
  </si>
  <si>
    <t xml:space="preserve">Terminada con observación</t>
  </si>
  <si>
    <t xml:space="preserve">dd5ceea · 376552f</t>
  </si>
  <si>
    <t xml:space="preserve">Como paciente, quiero que BioEqui incluya los precios de Ahumada, para ampliar la comparación.</t>
  </si>
  <si>
    <t xml:space="preserve">• La paginación usa un parámetro permitido por el robots.txt del sitio.
• Las fichas de producto se guardan en caché: la primera descarga toma cerca de 2 horas y las siguientes, minutos.
• Los precios con tarjeta CMR se excluyen de la comparación.</t>
  </si>
  <si>
    <t xml:space="preserve">d24a1c5</t>
  </si>
  <si>
    <t xml:space="preserve">Como paciente, quiero que BioEqui incluya los precios de Profar, para sumar una cuarta cadena.</t>
  </si>
  <si>
    <t xml:space="preserve">• Dado el catálogo de Profar, cuando se descarga, entonces se obtienen los productos con su ficha de detalle.
• La extracción cumple las reglas de la épica E8 (ver IMP-16).</t>
  </si>
  <si>
    <t xml:space="preserve">Should</t>
  </si>
  <si>
    <t xml:space="preserve">Iván Fernández</t>
  </si>
  <si>
    <t xml:space="preserve">0194174 · 9de3504</t>
  </si>
  <si>
    <t xml:space="preserve">E8</t>
  </si>
  <si>
    <t xml:space="preserve">Como equipo, quiero revisar el robots.txt de cada fuente, aplicar pausas e identificarnos como proyecto académico, para extraer datos de forma ética y legal.</t>
  </si>
  <si>
    <t xml:space="preserve">• Cada fuente tiene su robots.txt revisado y la decisión queda registrada.
• Ninguna fuente se consulta por rutas prohibidas ni sorteando medidas de seguridad.
• No hay credenciales ni cookies en el código versionado.</t>
  </si>
  <si>
    <t xml:space="preserve">En curso</t>
  </si>
  <si>
    <t xml:space="preserve">Salcobrand y buscador del ISP descartados; Profar y Cruz Verde pendientes</t>
  </si>
  <si>
    <t xml:space="preserve">E3</t>
  </si>
  <si>
    <t xml:space="preserve">Como equipo de datos, quiero vincular cada producto de farmacia con el catálogo del ISP por la raíz del registro sanitario, para saber qué productos están respaldados por el registro oficial.</t>
  </si>
  <si>
    <t xml:space="preserve">• Dado un producto con registro "F-8660", entonces se vincula con el medicamento de raíz "F-8660".
• Cada producto queda con un estado: vinculado, sin_correspondencia, sin_registro, registro_invalido o registro_sospechoso.</t>
  </si>
  <si>
    <t xml:space="preserve">Como equipo de datos, quiero validar las vinculaciones y apartar las dudosas, para no agrupar medicamentos distintos.</t>
  </si>
  <si>
    <t xml:space="preserve">• El registro debe cumplir el formato ^[A-Z]{1,3}-\d+$.
• El nombre publicado debe parecerse al nombre oficial (caso detectado: clopidogrel con el registro F-3901 de una clorfenamina).
• Los productos que declaran menos principios activos de los que indica su nombre se marcan y no se agrupan (96 casos).</t>
  </si>
  <si>
    <t xml:space="preserve">c2da72a · 376552f</t>
  </si>
  <si>
    <t xml:space="preserve">Como paciente, quiero que solo se comparen productos realmente intercambiables, para no comparar presentaciones distintas.</t>
  </si>
  <si>
    <t xml:space="preserve">• Dos productos son comparables solo si comparten principio activo, concentración, familia de forma farmacéutica y tamaño de envase.
• Las formas de liberación modificada quedan en una familia aparte.</t>
  </si>
  <si>
    <t xml:space="preserve">Como paciente, quiero saber si la bioequivalencia la certifica el ISP o solo la declara la farmacia, para saber cuánto confiar en el dato.</t>
  </si>
  <si>
    <t xml:space="preserve">• La vista v_productos_vigentes entrega el origen del dato: isp, comercial o sin_dato.
• La página muestra sello amarillo para lo certificado por el ISP y gris para lo declarado por la farmacia.</t>
  </si>
  <si>
    <t xml:space="preserve">376552f · 605ecc4</t>
  </si>
  <si>
    <t xml:space="preserve">E4</t>
  </si>
  <si>
    <t xml:space="preserve">Como equipo, quiero un esquema relacional en PostgreSQL ejecutándose en Docker, para persistir catálogo, oferta y precios.</t>
  </si>
  <si>
    <t xml:space="preserve">• El esquema v2 crea 6 tablas, índices y la vista v_productos_vigentes.
• El contenedor bioequi_postgres_v2 queda disponible en el puerto 5433.</t>
  </si>
  <si>
    <t xml:space="preserve">cb801e9 · 376552f</t>
  </si>
  <si>
    <t xml:space="preserve">Como analista, quiero que cada ejecución agregue el precio del día sin duplicarlo, para construir un historial confiable.</t>
  </si>
  <si>
    <t xml:space="preserve">• Existe la restricción UNIQUE (id_producto, fecha_muestreo).
• Si el cargador se ejecuta dos veces el mismo día, actualiza en lugar de duplicar.
• Los precios anteriores nunca se borran.</t>
  </si>
  <si>
    <t xml:space="preserve">259618e · 376552f</t>
  </si>
  <si>
    <t xml:space="preserve">E5</t>
  </si>
  <si>
    <t xml:space="preserve">Como paciente, quiero buscar por nombre o principio activo y ver las presentaciones disponibles, para encontrar el medicamento aunque no conozca la marca.</t>
  </si>
  <si>
    <t xml:space="preserve">• GET /buscar?q= exige 3 caracteres como mínimo.
• Agrupa por principio activo, concentración y familia, sin considerar el envase.</t>
  </si>
  <si>
    <t xml:space="preserve">a53434c</t>
  </si>
  <si>
    <t xml:space="preserve">Como paciente, quiero ver los tamaños de envase de una presentación, para elegir la cantidad que necesito.</t>
  </si>
  <si>
    <t xml:space="preserve">• GET /presentacion/{clave} devuelve los envases disponibles con su precio desde.</t>
  </si>
  <si>
    <t xml:space="preserve">Como paciente, quiero comparar el precio de un mismo envase entre farmacias, para saber dónde me conviene comprar.</t>
  </si>
  <si>
    <t xml:space="preserve">• GET /comparar/{clave} ordena las farmacias por precio y calcula la diferencia en pesos y en porcentaje.
• Incluye precio unitario, condición de venta y fecha de muestreo.</t>
  </si>
  <si>
    <t xml:space="preserve">E6</t>
  </si>
  <si>
    <t xml:space="preserve">Como paciente, quiero una página donde buscar, elegir y comparar en tres pasos, para no tener que revisar cada farmacia por separado.</t>
  </si>
  <si>
    <t xml:space="preserve">• La página consume la API y muestra presentaciones, envases y comparación.
• Cada producto tiene un botón "Ver en la farmacia" que enlaza al sitio real.</t>
  </si>
  <si>
    <t xml:space="preserve">605ecc4</t>
  </si>
  <si>
    <t xml:space="preserve">Como paciente, quiero ver el historial de precios de un producto, para saber si una oferta es real o permanente.</t>
  </si>
  <si>
    <t xml:space="preserve">• GET /producto/{id} entrega la serie, el mínimo, el máximo y los días en oferta (hecho).
• La página muestra un gráfico de la serie (pendiente).</t>
  </si>
  <si>
    <t xml:space="preserve">API lista (a53434c); falta la vista en la página</t>
  </si>
  <si>
    <t xml:space="preserve">Como paciente, quiero que los productos combinados muestren la dosis de cada principio activo, para no confundir "Ibuprofeno Paracetamol 300 mg".</t>
  </si>
  <si>
    <t xml:space="preserve">• Un producto con dos principios activos muestra ambas dosis en la tarjeta.</t>
  </si>
  <si>
    <t xml:space="preserve">Pendiente</t>
  </si>
  <si>
    <t xml:space="preserve">Como paciente, quiero ver la fecha del precio y una advertencia de uso informativo, para no confundir un precio antiguo con uno vigente.</t>
  </si>
  <si>
    <t xml:space="preserve">• Cada precio muestra "Precio al AAAA-MM-DD".
• La página advierte que no reemplaza la indicación de un profesional de la salud.</t>
  </si>
  <si>
    <t xml:space="preserve">E7</t>
  </si>
  <si>
    <t xml:space="preserve">Como equipo de operación, quiero un script único que ejecute el flujo completo y se detenga ante errores, para actualizar los datos sin pasos manuales.</t>
  </si>
  <si>
    <t xml:space="preserve">• Ejecuta extracción, plata, oro y carga en orden.
• Si un paso falla, se detiene y deja un registro en logs/.
• Está versionado en el repositorio.</t>
  </si>
  <si>
    <t xml:space="preserve">actualizar.py existe en local para Dr. Simi; no está versionado</t>
  </si>
  <si>
    <t xml:space="preserve">Como equipo, quiero que contraseñas y cookies no estén en el código versionado, para no exponer credenciales en un repositorio público.</t>
  </si>
  <si>
    <t xml:space="preserve">• docker-compose.yml y los extractores leen sus credenciales desde .env.
• El .env está en .gitignore y existe un .env.example sin valores reales.</t>
  </si>
  <si>
    <t xml:space="preserve">Como equipo de datos, quiero recalcular las métricas de calidad con las cuatro farmacias, para reportar cifras actuales en el informe final.</t>
  </si>
  <si>
    <t xml:space="preserve">• Se informan grupos comparables, discrepancias, vinculaciones apartadas y cobertura por farmacia.</t>
  </si>
  <si>
    <t xml:space="preserve">Como equipo, quiero casos de prueba documentados para la API, la página y la carga, para demostrar que el sistema funciona.</t>
  </si>
  <si>
    <t xml:space="preserve">• Cada caso del plan de pruebas tiene resultado obtenido, fecha y evidencia.</t>
  </si>
  <si>
    <t xml:space="preserve">Como paciente, quiero una página clara y usable en celular, para consultar desde cualquier dispositivo.</t>
  </si>
  <si>
    <t xml:space="preserve">• La página se adapta a 375 px de ancho sin desplazamiento horizontal.</t>
  </si>
  <si>
    <t xml:space="preserve">Could</t>
  </si>
  <si>
    <t xml:space="preserve">Como paciente, quiero acceder a BioEqui desde internet, para no depender del computador del equipo.</t>
  </si>
  <si>
    <t xml:space="preserve">• La base, la API y la página quedan publicadas en un servicio en la nube.</t>
  </si>
  <si>
    <t xml:space="preserve">No iniciada</t>
  </si>
  <si>
    <t xml:space="preserve">Opcional según disponibilidad de tiempo</t>
  </si>
  <si>
    <t xml:space="preserve">Como analista, quiero muestrear los precios de las farmacias periódicamente, para acumular historial.</t>
  </si>
  <si>
    <t xml:space="preserve">• Se descargan las cadenas integradas en fechas sucesivas y quedan en bronce con su fecha.</t>
  </si>
  <si>
    <t xml:space="preserve">18479d9 · 105ce2b · cf60fc8</t>
  </si>
  <si>
    <t xml:space="preserve">Como equipo, quiero el código centralizado en Desarrollo_Proyecto y un flujo develop → main, para entregar un repositorio ordenado.</t>
  </si>
  <si>
    <t xml:space="preserve">• Todo el código vive en Desarrollo_Proyecto.
• main se actualiza desde develop mediante pull request.</t>
  </si>
  <si>
    <t xml:space="preserve">2504ca0 · 9de3504 · PR #8</t>
  </si>
  <si>
    <t xml:space="preserve">Como equipo, quiero un entorno reproducible (requirements.txt y docker-compose v2), para que cualquiera levante el sistema.</t>
  </si>
  <si>
    <t xml:space="preserve">• Con requirements.txt y docker-compose.yml se levanta la base en el puerto 5433 y la API conecta sin errores.</t>
  </si>
  <si>
    <t xml:space="preserve">Informe 2.4 Desarrollo Proyecto (09-10-2026)</t>
  </si>
  <si>
    <t xml:space="preserve">Total story points</t>
  </si>
  <si>
    <t xml:space="preserve">Story points terminados</t>
  </si>
  <si>
    <t xml:space="preserve">Avance</t>
  </si>
</sst>
</file>

<file path=xl/styles.xml><?xml version="1.0" encoding="utf-8"?>
<styleSheet xmlns="http://schemas.openxmlformats.org/spreadsheetml/2006/main">
  <numFmts count="4">
    <numFmt numFmtId="164" formatCode="General"/>
    <numFmt numFmtId="165" formatCode="dd\-mm\-yyyy"/>
    <numFmt numFmtId="166" formatCode="General"/>
    <numFmt numFmtId="167" formatCode="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i val="true"/>
      <sz val="9"/>
      <color rgb="FF00000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4C6E7"/>
      </left>
      <right style="thin">
        <color rgb="FFB4C6E7"/>
      </right>
      <top style="thin">
        <color rgb="FFB4C6E7"/>
      </top>
      <bottom style="thin">
        <color rgb="FFB4C6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5" fontId="8"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5" fontId="8" fillId="3"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9" fillId="3" borderId="0" xfId="0" applyFont="true" applyBorder="false" applyAlignment="true" applyProtection="false">
      <alignment horizontal="left"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E2EFDA"/>
        </patternFill>
      </fill>
    </dxf>
    <dxf>
      <fill>
        <patternFill>
          <bgColor rgb="FFFFF2CC"/>
        </patternFill>
      </fill>
    </dxf>
    <dxf>
      <fill>
        <patternFill>
          <bgColor rgb="FFF8CBAD"/>
        </patternFill>
      </fill>
    </dxf>
    <dxf>
      <fill>
        <patternFill>
          <bgColor rgb="FFF2F2F2"/>
        </patternFill>
      </fill>
    </dxf>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B4C6E7"/>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8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
    <col collapsed="false" customWidth="true" hidden="false" outlineLevel="0" max="3" min="3" style="0" width="70"/>
    <col collapsed="false" customWidth="true" hidden="false" outlineLevel="0" max="4" min="4" style="0" width="12"/>
    <col collapsed="false" customWidth="true" hidden="false" outlineLevel="0" max="5" min="5" style="0" width="22"/>
    <col collapsed="false" customWidth="true" hidden="false" outlineLevel="0" max="6" min="6"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true" outlineLevel="0" collapsed="false">
      <c r="A4" s="3" t="s">
        <v>2</v>
      </c>
      <c r="B4" s="3"/>
      <c r="C4" s="3"/>
      <c r="D4" s="3"/>
      <c r="E4" s="3"/>
      <c r="F4" s="3"/>
    </row>
    <row r="5" customFormat="false" ht="23.85" hidden="false" customHeight="false" outlineLevel="0" collapsed="false">
      <c r="A5" s="4" t="s">
        <v>3</v>
      </c>
      <c r="B5" s="5" t="n">
        <f aca="false">Parámetros!$D$9</f>
        <v>46272</v>
      </c>
      <c r="C5" s="5" t="n">
        <f aca="false">Parámetros!$E$9</f>
        <v>46292</v>
      </c>
      <c r="D5" s="6" t="s">
        <v>4</v>
      </c>
    </row>
    <row r="6" customFormat="false" ht="15" hidden="false" customHeight="true" outlineLevel="0" collapsed="false">
      <c r="A6" s="4" t="s">
        <v>5</v>
      </c>
      <c r="B6" s="6" t="s">
        <v>6</v>
      </c>
      <c r="C6" s="6"/>
      <c r="D6" s="6"/>
      <c r="E6" s="6"/>
      <c r="F6" s="6"/>
    </row>
    <row r="7" customFormat="false" ht="15" hidden="false" customHeight="false" outlineLevel="0" collapsed="false">
      <c r="A7" s="4" t="s">
        <v>7</v>
      </c>
      <c r="B7" s="7" t="n">
        <f aca="false">2*Parámetros!$B$6*3</f>
        <v>72</v>
      </c>
      <c r="C7" s="8" t="s">
        <v>8</v>
      </c>
    </row>
    <row r="8" customFormat="false" ht="30" hidden="false" customHeight="true" outlineLevel="0" collapsed="false">
      <c r="A8" s="9" t="s">
        <v>9</v>
      </c>
      <c r="B8" s="9" t="s">
        <v>10</v>
      </c>
      <c r="C8" s="9" t="s">
        <v>11</v>
      </c>
      <c r="D8" s="9" t="s">
        <v>12</v>
      </c>
      <c r="E8" s="9" t="s">
        <v>13</v>
      </c>
      <c r="F8" s="9" t="s">
        <v>14</v>
      </c>
    </row>
    <row r="9" customFormat="false" ht="23.85" hidden="false" customHeight="false" outlineLevel="0" collapsed="false">
      <c r="A9" s="6" t="s">
        <v>15</v>
      </c>
      <c r="B9" s="7" t="s">
        <v>16</v>
      </c>
      <c r="C9" s="6" t="str">
        <f aca="false">INDEX('Historias de Usuario'!$C$5:$C$33,MATCH(B9,'Historias de Usuario'!$A$5:$A$33,0))</f>
        <v>Como equipo de datos, quiero consolidar los tres listados del ISP (referentes, alternativas e híbridos) en un solo archivo, para trabajar con una única fuente oficial.</v>
      </c>
      <c r="D9" s="7" t="n">
        <f aca="false">INDEX('Historias de Usuario'!$E$5:$E$33,MATCH(B9,'Historias de Usuario'!$A$5:$A$33,0))</f>
        <v>3</v>
      </c>
      <c r="E9" s="10" t="str">
        <f aca="false">INDEX('Historias de Usuario'!$J$5:$J$33,MATCH(B9,'Historias de Usuario'!$A$5:$A$33,0))</f>
        <v>Terminada</v>
      </c>
      <c r="F9" s="7" t="n">
        <f aca="false">INDEX('Historias de Usuario'!$I$5:$I$33,MATCH(B9,'Historias de Usuario'!$A$5:$A$33,0))</f>
        <v>1</v>
      </c>
    </row>
    <row r="10" customFormat="false" ht="35.05" hidden="false" customHeight="false" outlineLevel="0" collapsed="false">
      <c r="A10" s="6" t="s">
        <v>15</v>
      </c>
      <c r="B10" s="7" t="s">
        <v>17</v>
      </c>
      <c r="C10" s="6" t="str">
        <f aca="false">INDEX('Historias de Usuario'!$C$5:$C$33,MATCH(B10,'Historias de Usuario'!$A$5:$A$33,0))</f>
        <v>Como equipo de datos, quiero separar registro y año, forma farmacéutica, dosis y principios activos del catálogo del ISP, para cargar medicamentos y composición en tablas separadas.</v>
      </c>
      <c r="D10" s="7" t="n">
        <f aca="false">INDEX('Historias de Usuario'!$E$5:$E$33,MATCH(B10,'Historias de Usuario'!$A$5:$A$33,0))</f>
        <v>8</v>
      </c>
      <c r="E10" s="10" t="str">
        <f aca="false">INDEX('Historias de Usuario'!$J$5:$J$33,MATCH(B10,'Historias de Usuario'!$A$5:$A$33,0))</f>
        <v>Terminada</v>
      </c>
      <c r="F10" s="7" t="n">
        <f aca="false">INDEX('Historias de Usuario'!$I$5:$I$33,MATCH(B10,'Historias de Usuario'!$A$5:$A$33,0))</f>
        <v>1</v>
      </c>
    </row>
    <row r="11" customFormat="false" ht="23.85" hidden="false" customHeight="false" outlineLevel="0" collapsed="false">
      <c r="A11" s="6" t="s">
        <v>15</v>
      </c>
      <c r="B11" s="7" t="s">
        <v>18</v>
      </c>
      <c r="C11" s="6" t="str">
        <f aca="false">INDEX('Historias de Usuario'!$C$5:$C$33,MATCH(B11,'Historias de Usuario'!$A$5:$A$33,0))</f>
        <v>Como equipo, quiero revisar el robots.txt de cada fuente, aplicar pausas e identificarnos como proyecto académico, para extraer datos de forma ética y legal.</v>
      </c>
      <c r="D11" s="7" t="n">
        <f aca="false">INDEX('Historias de Usuario'!$E$5:$E$33,MATCH(B11,'Historias de Usuario'!$A$5:$A$33,0))</f>
        <v>3</v>
      </c>
      <c r="E11" s="10" t="str">
        <f aca="false">INDEX('Historias de Usuario'!$J$5:$J$33,MATCH(B11,'Historias de Usuario'!$A$5:$A$33,0))</f>
        <v>En curso</v>
      </c>
      <c r="F11" s="7" t="n">
        <f aca="false">INDEX('Historias de Usuario'!$I$5:$I$33,MATCH(B11,'Historias de Usuario'!$A$5:$A$33,0))</f>
        <v>1</v>
      </c>
    </row>
    <row r="12" customFormat="false" ht="23.85" hidden="false" customHeight="false" outlineLevel="0" collapsed="false">
      <c r="A12" s="6" t="s">
        <v>15</v>
      </c>
      <c r="B12" s="7" t="s">
        <v>19</v>
      </c>
      <c r="C12" s="6" t="str">
        <f aca="false">INDEX('Historias de Usuario'!$C$5:$C$33,MATCH(B12,'Historias de Usuario'!$A$5:$A$33,0))</f>
        <v>Como equipo, quiero un esquema relacional en PostgreSQL ejecutándose en Docker, para persistir catálogo, oferta y precios.</v>
      </c>
      <c r="D12" s="7" t="n">
        <f aca="false">INDEX('Historias de Usuario'!$E$5:$E$33,MATCH(B12,'Historias de Usuario'!$A$5:$A$33,0))</f>
        <v>5</v>
      </c>
      <c r="E12" s="10" t="str">
        <f aca="false">INDEX('Historias de Usuario'!$J$5:$J$33,MATCH(B12,'Historias de Usuario'!$A$5:$A$33,0))</f>
        <v>Terminada</v>
      </c>
      <c r="F12" s="7" t="n">
        <f aca="false">INDEX('Historias de Usuario'!$I$5:$I$33,MATCH(B12,'Historias de Usuario'!$A$5:$A$33,0))</f>
        <v>1</v>
      </c>
    </row>
    <row r="13" customFormat="false" ht="23.85" hidden="false" customHeight="false" outlineLevel="0" collapsed="false">
      <c r="A13" s="6" t="s">
        <v>15</v>
      </c>
      <c r="B13" s="7" t="s">
        <v>20</v>
      </c>
      <c r="C13" s="6" t="str">
        <f aca="false">INDEX('Historias de Usuario'!$C$5:$C$33,MATCH(B13,'Historias de Usuario'!$A$5:$A$33,0))</f>
        <v>Como analista, quiero que cada ejecución agregue el precio del día sin duplicarlo, para construir un historial confiable.</v>
      </c>
      <c r="D13" s="7" t="n">
        <f aca="false">INDEX('Historias de Usuario'!$E$5:$E$33,MATCH(B13,'Historias de Usuario'!$A$5:$A$33,0))</f>
        <v>5</v>
      </c>
      <c r="E13" s="10" t="str">
        <f aca="false">INDEX('Historias de Usuario'!$J$5:$J$33,MATCH(B13,'Historias de Usuario'!$A$5:$A$33,0))</f>
        <v>Terminada</v>
      </c>
      <c r="F13" s="7" t="n">
        <f aca="false">INDEX('Historias de Usuario'!$I$5:$I$33,MATCH(B13,'Historias de Usuario'!$A$5:$A$33,0))</f>
        <v>1</v>
      </c>
    </row>
    <row r="14" customFormat="false" ht="23.85" hidden="false" customHeight="false" outlineLevel="0" collapsed="false">
      <c r="A14" s="6" t="s">
        <v>21</v>
      </c>
      <c r="B14" s="7" t="s">
        <v>22</v>
      </c>
      <c r="C14" s="6" t="str">
        <f aca="false">INDEX('Historias de Usuario'!$C$5:$C$33,MATCH(B14,'Historias de Usuario'!$A$5:$A$33,0))</f>
        <v>Como paciente, quiero que BioEqui incluya los precios de Dr. Simi, para compararlos con los de otras farmacias.</v>
      </c>
      <c r="D14" s="7" t="n">
        <f aca="false">INDEX('Historias de Usuario'!$E$5:$E$33,MATCH(B14,'Historias de Usuario'!$A$5:$A$33,0))</f>
        <v>5</v>
      </c>
      <c r="E14" s="10" t="str">
        <f aca="false">INDEX('Historias de Usuario'!$J$5:$J$33,MATCH(B14,'Historias de Usuario'!$A$5:$A$33,0))</f>
        <v>Terminada</v>
      </c>
      <c r="F14" s="7" t="n">
        <f aca="false">INDEX('Historias de Usuario'!$I$5:$I$33,MATCH(B14,'Historias de Usuario'!$A$5:$A$33,0))</f>
        <v>1</v>
      </c>
    </row>
    <row r="15" customFormat="false" ht="23.85" hidden="false" customHeight="false" outlineLevel="0" collapsed="false">
      <c r="A15" s="6" t="s">
        <v>21</v>
      </c>
      <c r="B15" s="7" t="s">
        <v>23</v>
      </c>
      <c r="C15" s="6" t="str">
        <f aca="false">INDEX('Historias de Usuario'!$C$5:$C$33,MATCH(B15,'Historias de Usuario'!$A$5:$A$33,0))</f>
        <v>Como paciente, quiero que BioEqui incluya los precios de Cruz Verde, para comparar con la cadena de mayor catálogo.</v>
      </c>
      <c r="D15" s="7" t="n">
        <f aca="false">INDEX('Historias de Usuario'!$E$5:$E$33,MATCH(B15,'Historias de Usuario'!$A$5:$A$33,0))</f>
        <v>8</v>
      </c>
      <c r="E15" s="10" t="str">
        <f aca="false">INDEX('Historias de Usuario'!$J$5:$J$33,MATCH(B15,'Historias de Usuario'!$A$5:$A$33,0))</f>
        <v>Terminada con observación</v>
      </c>
      <c r="F15" s="7" t="n">
        <f aca="false">INDEX('Historias de Usuario'!$I$5:$I$33,MATCH(B15,'Historias de Usuario'!$A$5:$A$33,0))</f>
        <v>1</v>
      </c>
    </row>
    <row r="16" customFormat="false" ht="23.85" hidden="false" customHeight="false" outlineLevel="0" collapsed="false">
      <c r="A16" s="6" t="s">
        <v>21</v>
      </c>
      <c r="B16" s="7" t="s">
        <v>24</v>
      </c>
      <c r="C16" s="6" t="str">
        <f aca="false">INDEX('Historias de Usuario'!$C$5:$C$33,MATCH(B16,'Historias de Usuario'!$A$5:$A$33,0))</f>
        <v>Como paciente, quiero que BioEqui incluya los precios de Ahumada, para ampliar la comparación.</v>
      </c>
      <c r="D16" s="7" t="n">
        <f aca="false">INDEX('Historias de Usuario'!$E$5:$E$33,MATCH(B16,'Historias de Usuario'!$A$5:$A$33,0))</f>
        <v>8</v>
      </c>
      <c r="E16" s="10" t="str">
        <f aca="false">INDEX('Historias de Usuario'!$J$5:$J$33,MATCH(B16,'Historias de Usuario'!$A$5:$A$33,0))</f>
        <v>Terminada</v>
      </c>
      <c r="F16" s="7" t="n">
        <f aca="false">INDEX('Historias de Usuario'!$I$5:$I$33,MATCH(B16,'Historias de Usuario'!$A$5:$A$33,0))</f>
        <v>1</v>
      </c>
    </row>
    <row r="17" customFormat="false" ht="23.85" hidden="false" customHeight="false" outlineLevel="0" collapsed="false">
      <c r="A17" s="6" t="s">
        <v>21</v>
      </c>
      <c r="B17" s="7" t="s">
        <v>25</v>
      </c>
      <c r="C17" s="6" t="str">
        <f aca="false">INDEX('Historias de Usuario'!$C$5:$C$33,MATCH(B17,'Historias de Usuario'!$A$5:$A$33,0))</f>
        <v>Como paciente, quiero que BioEqui incluya los precios de Profar, para sumar una cuarta cadena.</v>
      </c>
      <c r="D17" s="7" t="n">
        <f aca="false">INDEX('Historias de Usuario'!$E$5:$E$33,MATCH(B17,'Historias de Usuario'!$A$5:$A$33,0))</f>
        <v>5</v>
      </c>
      <c r="E17" s="10" t="str">
        <f aca="false">INDEX('Historias de Usuario'!$J$5:$J$33,MATCH(B17,'Historias de Usuario'!$A$5:$A$33,0))</f>
        <v>Terminada con observación</v>
      </c>
      <c r="F17" s="7" t="n">
        <f aca="false">INDEX('Historias de Usuario'!$I$5:$I$33,MATCH(B17,'Historias de Usuario'!$A$5:$A$33,0))</f>
        <v>1</v>
      </c>
    </row>
    <row r="18" customFormat="false" ht="35.05" hidden="false" customHeight="false" outlineLevel="0" collapsed="false">
      <c r="A18" s="6" t="s">
        <v>21</v>
      </c>
      <c r="B18" s="7" t="s">
        <v>26</v>
      </c>
      <c r="C18" s="6" t="str">
        <f aca="false">INDEX('Historias de Usuario'!$C$5:$C$33,MATCH(B18,'Historias de Usuario'!$A$5:$A$33,0))</f>
        <v>Como equipo de datos, quiero vincular cada producto de farmacia con el catálogo del ISP por la raíz del registro sanitario, para saber qué productos están respaldados por el registro oficial.</v>
      </c>
      <c r="D18" s="7" t="n">
        <f aca="false">INDEX('Historias de Usuario'!$E$5:$E$33,MATCH(B18,'Historias de Usuario'!$A$5:$A$33,0))</f>
        <v>5</v>
      </c>
      <c r="E18" s="10" t="str">
        <f aca="false">INDEX('Historias de Usuario'!$J$5:$J$33,MATCH(B18,'Historias de Usuario'!$A$5:$A$33,0))</f>
        <v>Terminada</v>
      </c>
      <c r="F18" s="7" t="n">
        <f aca="false">INDEX('Historias de Usuario'!$I$5:$I$33,MATCH(B18,'Historias de Usuario'!$A$5:$A$33,0))</f>
        <v>1</v>
      </c>
    </row>
    <row r="19" customFormat="false" ht="23.85" hidden="false" customHeight="false" outlineLevel="0" collapsed="false">
      <c r="A19" s="6" t="s">
        <v>21</v>
      </c>
      <c r="B19" s="7" t="s">
        <v>27</v>
      </c>
      <c r="C19" s="6" t="str">
        <f aca="false">INDEX('Historias de Usuario'!$C$5:$C$33,MATCH(B19,'Historias de Usuario'!$A$5:$A$33,0))</f>
        <v>Como equipo de datos, quiero validar las vinculaciones y apartar las dudosas, para no agrupar medicamentos distintos.</v>
      </c>
      <c r="D19" s="7" t="n">
        <f aca="false">INDEX('Historias de Usuario'!$E$5:$E$33,MATCH(B19,'Historias de Usuario'!$A$5:$A$33,0))</f>
        <v>5</v>
      </c>
      <c r="E19" s="10" t="str">
        <f aca="false">INDEX('Historias de Usuario'!$J$5:$J$33,MATCH(B19,'Historias de Usuario'!$A$5:$A$33,0))</f>
        <v>Terminada</v>
      </c>
      <c r="F19" s="7" t="n">
        <f aca="false">INDEX('Historias de Usuario'!$I$5:$I$33,MATCH(B19,'Historias de Usuario'!$A$5:$A$33,0))</f>
        <v>1</v>
      </c>
    </row>
    <row r="20" customFormat="false" ht="23.85" hidden="false" customHeight="false" outlineLevel="0" collapsed="false">
      <c r="A20" s="6" t="s">
        <v>21</v>
      </c>
      <c r="B20" s="7" t="s">
        <v>28</v>
      </c>
      <c r="C20" s="6" t="str">
        <f aca="false">INDEX('Historias de Usuario'!$C$5:$C$33,MATCH(B20,'Historias de Usuario'!$A$5:$A$33,0))</f>
        <v>Como paciente, quiero que solo se comparen productos realmente intercambiables, para no comparar presentaciones distintas.</v>
      </c>
      <c r="D20" s="7" t="n">
        <f aca="false">INDEX('Historias de Usuario'!$E$5:$E$33,MATCH(B20,'Historias de Usuario'!$A$5:$A$33,0))</f>
        <v>8</v>
      </c>
      <c r="E20" s="10" t="str">
        <f aca="false">INDEX('Historias de Usuario'!$J$5:$J$33,MATCH(B20,'Historias de Usuario'!$A$5:$A$33,0))</f>
        <v>Terminada</v>
      </c>
      <c r="F20" s="7" t="n">
        <f aca="false">INDEX('Historias de Usuario'!$I$5:$I$33,MATCH(B20,'Historias de Usuario'!$A$5:$A$33,0))</f>
        <v>1</v>
      </c>
    </row>
    <row r="21" customFormat="false" ht="23.85" hidden="false" customHeight="false" outlineLevel="0" collapsed="false">
      <c r="A21" s="6" t="s">
        <v>21</v>
      </c>
      <c r="B21" s="7" t="s">
        <v>29</v>
      </c>
      <c r="C21" s="6" t="str">
        <f aca="false">INDEX('Historias de Usuario'!$C$5:$C$33,MATCH(B21,'Historias de Usuario'!$A$5:$A$33,0))</f>
        <v>Como paciente, quiero saber si la bioequivalencia la certifica el ISP o solo la declara la farmacia, para saber cuánto confiar en el dato.</v>
      </c>
      <c r="D21" s="7" t="n">
        <f aca="false">INDEX('Historias de Usuario'!$E$5:$E$33,MATCH(B21,'Historias de Usuario'!$A$5:$A$33,0))</f>
        <v>3</v>
      </c>
      <c r="E21" s="10" t="str">
        <f aca="false">INDEX('Historias de Usuario'!$J$5:$J$33,MATCH(B21,'Historias de Usuario'!$A$5:$A$33,0))</f>
        <v>Terminada</v>
      </c>
      <c r="F21" s="7" t="n">
        <f aca="false">INDEX('Historias de Usuario'!$I$5:$I$33,MATCH(B21,'Historias de Usuario'!$A$5:$A$33,0))</f>
        <v>1</v>
      </c>
    </row>
    <row r="22" customFormat="false" ht="23.85" hidden="false" customHeight="false" outlineLevel="0" collapsed="false">
      <c r="A22" s="6" t="s">
        <v>21</v>
      </c>
      <c r="B22" s="7" t="s">
        <v>30</v>
      </c>
      <c r="C22" s="6" t="str">
        <f aca="false">INDEX('Historias de Usuario'!$C$5:$C$33,MATCH(B22,'Historias de Usuario'!$A$5:$A$33,0))</f>
        <v>Como paciente, quiero buscar por nombre o principio activo y ver las presentaciones disponibles, para encontrar el medicamento aunque no conozca la marca.</v>
      </c>
      <c r="D22" s="7" t="n">
        <f aca="false">INDEX('Historias de Usuario'!$E$5:$E$33,MATCH(B22,'Historias de Usuario'!$A$5:$A$33,0))</f>
        <v>5</v>
      </c>
      <c r="E22" s="10" t="str">
        <f aca="false">INDEX('Historias de Usuario'!$J$5:$J$33,MATCH(B22,'Historias de Usuario'!$A$5:$A$33,0))</f>
        <v>Terminada</v>
      </c>
      <c r="F22" s="7" t="n">
        <f aca="false">INDEX('Historias de Usuario'!$I$5:$I$33,MATCH(B22,'Historias de Usuario'!$A$5:$A$33,0))</f>
        <v>1</v>
      </c>
    </row>
    <row r="23" customFormat="false" ht="23.85" hidden="false" customHeight="false" outlineLevel="0" collapsed="false">
      <c r="A23" s="6" t="s">
        <v>21</v>
      </c>
      <c r="B23" s="7" t="s">
        <v>31</v>
      </c>
      <c r="C23" s="6" t="str">
        <f aca="false">INDEX('Historias de Usuario'!$C$5:$C$33,MATCH(B23,'Historias de Usuario'!$A$5:$A$33,0))</f>
        <v>Como paciente, quiero ver los tamaños de envase de una presentación, para elegir la cantidad que necesito.</v>
      </c>
      <c r="D23" s="7" t="n">
        <f aca="false">INDEX('Historias de Usuario'!$E$5:$E$33,MATCH(B23,'Historias de Usuario'!$A$5:$A$33,0))</f>
        <v>3</v>
      </c>
      <c r="E23" s="10" t="str">
        <f aca="false">INDEX('Historias de Usuario'!$J$5:$J$33,MATCH(B23,'Historias de Usuario'!$A$5:$A$33,0))</f>
        <v>Terminada</v>
      </c>
      <c r="F23" s="7" t="n">
        <f aca="false">INDEX('Historias de Usuario'!$I$5:$I$33,MATCH(B23,'Historias de Usuario'!$A$5:$A$33,0))</f>
        <v>1</v>
      </c>
    </row>
    <row r="24" customFormat="false" ht="23.85" hidden="false" customHeight="false" outlineLevel="0" collapsed="false">
      <c r="A24" s="6" t="s">
        <v>21</v>
      </c>
      <c r="B24" s="7" t="s">
        <v>32</v>
      </c>
      <c r="C24" s="6" t="str">
        <f aca="false">INDEX('Historias de Usuario'!$C$5:$C$33,MATCH(B24,'Historias de Usuario'!$A$5:$A$33,0))</f>
        <v>Como paciente, quiero comparar el precio de un mismo envase entre farmacias, para saber dónde me conviene comprar.</v>
      </c>
      <c r="D24" s="7" t="n">
        <f aca="false">INDEX('Historias de Usuario'!$E$5:$E$33,MATCH(B24,'Historias de Usuario'!$A$5:$A$33,0))</f>
        <v>5</v>
      </c>
      <c r="E24" s="10" t="str">
        <f aca="false">INDEX('Historias de Usuario'!$J$5:$J$33,MATCH(B24,'Historias de Usuario'!$A$5:$A$33,0))</f>
        <v>Terminada</v>
      </c>
      <c r="F24" s="7" t="n">
        <f aca="false">INDEX('Historias de Usuario'!$I$5:$I$33,MATCH(B24,'Historias de Usuario'!$A$5:$A$33,0))</f>
        <v>1</v>
      </c>
    </row>
    <row r="25" customFormat="false" ht="23.85" hidden="false" customHeight="false" outlineLevel="0" collapsed="false">
      <c r="A25" s="6" t="s">
        <v>21</v>
      </c>
      <c r="B25" s="7" t="s">
        <v>33</v>
      </c>
      <c r="C25" s="6" t="str">
        <f aca="false">INDEX('Historias de Usuario'!$C$5:$C$33,MATCH(B25,'Historias de Usuario'!$A$5:$A$33,0))</f>
        <v>Como paciente, quiero una página donde buscar, elegir y comparar en tres pasos, para no tener que revisar cada farmacia por separado.</v>
      </c>
      <c r="D25" s="7" t="n">
        <f aca="false">INDEX('Historias de Usuario'!$E$5:$E$33,MATCH(B25,'Historias de Usuario'!$A$5:$A$33,0))</f>
        <v>8</v>
      </c>
      <c r="E25" s="10" t="str">
        <f aca="false">INDEX('Historias de Usuario'!$J$5:$J$33,MATCH(B25,'Historias de Usuario'!$A$5:$A$33,0))</f>
        <v>Terminada</v>
      </c>
      <c r="F25" s="7" t="n">
        <f aca="false">INDEX('Historias de Usuario'!$I$5:$I$33,MATCH(B25,'Historias de Usuario'!$A$5:$A$33,0))</f>
        <v>1</v>
      </c>
    </row>
    <row r="26" customFormat="false" ht="23.85" hidden="false" customHeight="false" outlineLevel="0" collapsed="false">
      <c r="A26" s="6" t="s">
        <v>21</v>
      </c>
      <c r="B26" s="7" t="s">
        <v>34</v>
      </c>
      <c r="C26" s="6" t="str">
        <f aca="false">INDEX('Historias de Usuario'!$C$5:$C$33,MATCH(B26,'Historias de Usuario'!$A$5:$A$33,0))</f>
        <v>Como paciente, quiero ver la fecha del precio y una advertencia de uso informativo, para no confundir un precio antiguo con uno vigente.</v>
      </c>
      <c r="D26" s="7" t="n">
        <f aca="false">INDEX('Historias de Usuario'!$E$5:$E$33,MATCH(B26,'Historias de Usuario'!$A$5:$A$33,0))</f>
        <v>2</v>
      </c>
      <c r="E26" s="10" t="str">
        <f aca="false">INDEX('Historias de Usuario'!$J$5:$J$33,MATCH(B26,'Historias de Usuario'!$A$5:$A$33,0))</f>
        <v>Terminada</v>
      </c>
      <c r="F26" s="7" t="n">
        <f aca="false">INDEX('Historias de Usuario'!$I$5:$I$33,MATCH(B26,'Historias de Usuario'!$A$5:$A$33,0))</f>
        <v>1</v>
      </c>
    </row>
    <row r="27" customFormat="false" ht="15" hidden="false" customHeight="false" outlineLevel="0" collapsed="false">
      <c r="C27" s="4" t="s">
        <v>35</v>
      </c>
      <c r="D27" s="11" t="n">
        <f aca="false">SUMIF(A9:A26,"Planificada",D9:D26)</f>
        <v>24</v>
      </c>
    </row>
    <row r="28" customFormat="false" ht="15" hidden="false" customHeight="false" outlineLevel="0" collapsed="false">
      <c r="C28" s="4" t="s">
        <v>36</v>
      </c>
      <c r="D28" s="11" t="n">
        <f aca="false">SUMIFS('Historias de Usuario'!$E$5:$E$33,'Historias de Usuario'!$I$5:$I$33,1,'Historias de Usuario'!$J$5:$J$33,"Terminada*")</f>
        <v>91</v>
      </c>
    </row>
    <row r="29" customFormat="false" ht="15" hidden="false" customHeight="true" outlineLevel="0" collapsed="false">
      <c r="A29" s="4" t="s">
        <v>37</v>
      </c>
      <c r="B29" s="6" t="s">
        <v>38</v>
      </c>
      <c r="C29" s="6"/>
      <c r="D29" s="6"/>
      <c r="E29" s="6"/>
      <c r="F29" s="6"/>
    </row>
    <row r="31" customFormat="false" ht="15" hidden="false" customHeight="true" outlineLevel="0" collapsed="false">
      <c r="A31" s="3" t="s">
        <v>39</v>
      </c>
      <c r="B31" s="3"/>
      <c r="C31" s="3"/>
      <c r="D31" s="3"/>
      <c r="E31" s="3"/>
      <c r="F31" s="3"/>
    </row>
    <row r="32" customFormat="false" ht="23.85" hidden="false" customHeight="false" outlineLevel="0" collapsed="false">
      <c r="A32" s="4" t="s">
        <v>3</v>
      </c>
      <c r="B32" s="5" t="n">
        <f aca="false">Parámetros!$D$10</f>
        <v>46293</v>
      </c>
      <c r="C32" s="5" t="n">
        <f aca="false">Parámetros!$E$10</f>
        <v>46313</v>
      </c>
      <c r="D32" s="6" t="s">
        <v>40</v>
      </c>
    </row>
    <row r="33" customFormat="false" ht="15" hidden="false" customHeight="true" outlineLevel="0" collapsed="false">
      <c r="A33" s="4" t="s">
        <v>5</v>
      </c>
      <c r="B33" s="6" t="s">
        <v>41</v>
      </c>
      <c r="C33" s="6"/>
      <c r="D33" s="6"/>
      <c r="E33" s="6"/>
      <c r="F33" s="6"/>
    </row>
    <row r="34" customFormat="false" ht="15" hidden="false" customHeight="false" outlineLevel="0" collapsed="false">
      <c r="A34" s="4" t="s">
        <v>7</v>
      </c>
      <c r="B34" s="7" t="n">
        <f aca="false">2*Parámetros!$B$6*3</f>
        <v>72</v>
      </c>
      <c r="C34" s="8" t="s">
        <v>8</v>
      </c>
    </row>
    <row r="35" customFormat="false" ht="30" hidden="false" customHeight="true" outlineLevel="0" collapsed="false">
      <c r="A35" s="9" t="s">
        <v>9</v>
      </c>
      <c r="B35" s="9" t="s">
        <v>10</v>
      </c>
      <c r="C35" s="9" t="s">
        <v>11</v>
      </c>
      <c r="D35" s="9" t="s">
        <v>12</v>
      </c>
      <c r="E35" s="9" t="s">
        <v>13</v>
      </c>
      <c r="F35" s="9" t="s">
        <v>14</v>
      </c>
    </row>
    <row r="36" customFormat="false" ht="23.85" hidden="false" customHeight="false" outlineLevel="0" collapsed="false">
      <c r="A36" s="6" t="s">
        <v>15</v>
      </c>
      <c r="B36" s="7" t="s">
        <v>22</v>
      </c>
      <c r="C36" s="6" t="str">
        <f aca="false">INDEX('Historias de Usuario'!$C$5:$C$33,MATCH(B36,'Historias de Usuario'!$A$5:$A$33,0))</f>
        <v>Como paciente, quiero que BioEqui incluya los precios de Dr. Simi, para compararlos con los de otras farmacias.</v>
      </c>
      <c r="D36" s="7" t="n">
        <f aca="false">INDEX('Historias de Usuario'!$E$5:$E$33,MATCH(B36,'Historias de Usuario'!$A$5:$A$33,0))</f>
        <v>5</v>
      </c>
      <c r="E36" s="10" t="str">
        <f aca="false">INDEX('Historias de Usuario'!$J$5:$J$33,MATCH(B36,'Historias de Usuario'!$A$5:$A$33,0))</f>
        <v>Terminada</v>
      </c>
      <c r="F36" s="7" t="n">
        <f aca="false">INDEX('Historias de Usuario'!$I$5:$I$33,MATCH(B36,'Historias de Usuario'!$A$5:$A$33,0))</f>
        <v>1</v>
      </c>
    </row>
    <row r="37" customFormat="false" ht="23.85" hidden="false" customHeight="false" outlineLevel="0" collapsed="false">
      <c r="A37" s="6" t="s">
        <v>15</v>
      </c>
      <c r="B37" s="7" t="s">
        <v>23</v>
      </c>
      <c r="C37" s="6" t="str">
        <f aca="false">INDEX('Historias de Usuario'!$C$5:$C$33,MATCH(B37,'Historias de Usuario'!$A$5:$A$33,0))</f>
        <v>Como paciente, quiero que BioEqui incluya los precios de Cruz Verde, para comparar con la cadena de mayor catálogo.</v>
      </c>
      <c r="D37" s="7" t="n">
        <f aca="false">INDEX('Historias de Usuario'!$E$5:$E$33,MATCH(B37,'Historias de Usuario'!$A$5:$A$33,0))</f>
        <v>8</v>
      </c>
      <c r="E37" s="10" t="str">
        <f aca="false">INDEX('Historias de Usuario'!$J$5:$J$33,MATCH(B37,'Historias de Usuario'!$A$5:$A$33,0))</f>
        <v>Terminada con observación</v>
      </c>
      <c r="F37" s="7" t="n">
        <f aca="false">INDEX('Historias de Usuario'!$I$5:$I$33,MATCH(B37,'Historias de Usuario'!$A$5:$A$33,0))</f>
        <v>1</v>
      </c>
    </row>
    <row r="38" customFormat="false" ht="23.85" hidden="false" customHeight="false" outlineLevel="0" collapsed="false">
      <c r="A38" s="6" t="s">
        <v>15</v>
      </c>
      <c r="B38" s="7" t="s">
        <v>24</v>
      </c>
      <c r="C38" s="6" t="str">
        <f aca="false">INDEX('Historias de Usuario'!$C$5:$C$33,MATCH(B38,'Historias de Usuario'!$A$5:$A$33,0))</f>
        <v>Como paciente, quiero que BioEqui incluya los precios de Ahumada, para ampliar la comparación.</v>
      </c>
      <c r="D38" s="7" t="n">
        <f aca="false">INDEX('Historias de Usuario'!$E$5:$E$33,MATCH(B38,'Historias de Usuario'!$A$5:$A$33,0))</f>
        <v>8</v>
      </c>
      <c r="E38" s="10" t="str">
        <f aca="false">INDEX('Historias de Usuario'!$J$5:$J$33,MATCH(B38,'Historias de Usuario'!$A$5:$A$33,0))</f>
        <v>Terminada</v>
      </c>
      <c r="F38" s="7" t="n">
        <f aca="false">INDEX('Historias de Usuario'!$I$5:$I$33,MATCH(B38,'Historias de Usuario'!$A$5:$A$33,0))</f>
        <v>1</v>
      </c>
    </row>
    <row r="39" customFormat="false" ht="35.05" hidden="false" customHeight="false" outlineLevel="0" collapsed="false">
      <c r="A39" s="6" t="s">
        <v>15</v>
      </c>
      <c r="B39" s="7" t="s">
        <v>26</v>
      </c>
      <c r="C39" s="6" t="str">
        <f aca="false">INDEX('Historias de Usuario'!$C$5:$C$33,MATCH(B39,'Historias de Usuario'!$A$5:$A$33,0))</f>
        <v>Como equipo de datos, quiero vincular cada producto de farmacia con el catálogo del ISP por la raíz del registro sanitario, para saber qué productos están respaldados por el registro oficial.</v>
      </c>
      <c r="D39" s="7" t="n">
        <f aca="false">INDEX('Historias de Usuario'!$E$5:$E$33,MATCH(B39,'Historias de Usuario'!$A$5:$A$33,0))</f>
        <v>5</v>
      </c>
      <c r="E39" s="10" t="str">
        <f aca="false">INDEX('Historias de Usuario'!$J$5:$J$33,MATCH(B39,'Historias de Usuario'!$A$5:$A$33,0))</f>
        <v>Terminada</v>
      </c>
      <c r="F39" s="7" t="n">
        <f aca="false">INDEX('Historias de Usuario'!$I$5:$I$33,MATCH(B39,'Historias de Usuario'!$A$5:$A$33,0))</f>
        <v>1</v>
      </c>
    </row>
    <row r="40" customFormat="false" ht="23.85" hidden="false" customHeight="false" outlineLevel="0" collapsed="false">
      <c r="A40" s="6" t="s">
        <v>15</v>
      </c>
      <c r="B40" s="7" t="s">
        <v>27</v>
      </c>
      <c r="C40" s="6" t="str">
        <f aca="false">INDEX('Historias de Usuario'!$C$5:$C$33,MATCH(B40,'Historias de Usuario'!$A$5:$A$33,0))</f>
        <v>Como equipo de datos, quiero validar las vinculaciones y apartar las dudosas, para no agrupar medicamentos distintos.</v>
      </c>
      <c r="D40" s="7" t="n">
        <f aca="false">INDEX('Historias de Usuario'!$E$5:$E$33,MATCH(B40,'Historias de Usuario'!$A$5:$A$33,0))</f>
        <v>5</v>
      </c>
      <c r="E40" s="10" t="str">
        <f aca="false">INDEX('Historias de Usuario'!$J$5:$J$33,MATCH(B40,'Historias de Usuario'!$A$5:$A$33,0))</f>
        <v>Terminada</v>
      </c>
      <c r="F40" s="7" t="n">
        <f aca="false">INDEX('Historias de Usuario'!$I$5:$I$33,MATCH(B40,'Historias de Usuario'!$A$5:$A$33,0))</f>
        <v>1</v>
      </c>
    </row>
    <row r="41" customFormat="false" ht="23.85" hidden="false" customHeight="false" outlineLevel="0" collapsed="false">
      <c r="A41" s="6" t="s">
        <v>15</v>
      </c>
      <c r="B41" s="7" t="s">
        <v>28</v>
      </c>
      <c r="C41" s="6" t="str">
        <f aca="false">INDEX('Historias de Usuario'!$C$5:$C$33,MATCH(B41,'Historias de Usuario'!$A$5:$A$33,0))</f>
        <v>Como paciente, quiero que solo se comparen productos realmente intercambiables, para no comparar presentaciones distintas.</v>
      </c>
      <c r="D41" s="7" t="n">
        <f aca="false">INDEX('Historias de Usuario'!$E$5:$E$33,MATCH(B41,'Historias de Usuario'!$A$5:$A$33,0))</f>
        <v>8</v>
      </c>
      <c r="E41" s="10" t="str">
        <f aca="false">INDEX('Historias de Usuario'!$J$5:$J$33,MATCH(B41,'Historias de Usuario'!$A$5:$A$33,0))</f>
        <v>Terminada</v>
      </c>
      <c r="F41" s="7" t="n">
        <f aca="false">INDEX('Historias de Usuario'!$I$5:$I$33,MATCH(B41,'Historias de Usuario'!$A$5:$A$33,0))</f>
        <v>1</v>
      </c>
    </row>
    <row r="42" customFormat="false" ht="23.85" hidden="false" customHeight="false" outlineLevel="0" collapsed="false">
      <c r="A42" s="6" t="s">
        <v>15</v>
      </c>
      <c r="B42" s="7" t="s">
        <v>29</v>
      </c>
      <c r="C42" s="6" t="str">
        <f aca="false">INDEX('Historias de Usuario'!$C$5:$C$33,MATCH(B42,'Historias de Usuario'!$A$5:$A$33,0))</f>
        <v>Como paciente, quiero saber si la bioequivalencia la certifica el ISP o solo la declara la farmacia, para saber cuánto confiar en el dato.</v>
      </c>
      <c r="D42" s="7" t="n">
        <f aca="false">INDEX('Historias de Usuario'!$E$5:$E$33,MATCH(B42,'Historias de Usuario'!$A$5:$A$33,0))</f>
        <v>3</v>
      </c>
      <c r="E42" s="10" t="str">
        <f aca="false">INDEX('Historias de Usuario'!$J$5:$J$33,MATCH(B42,'Historias de Usuario'!$A$5:$A$33,0))</f>
        <v>Terminada</v>
      </c>
      <c r="F42" s="7" t="n">
        <f aca="false">INDEX('Historias de Usuario'!$I$5:$I$33,MATCH(B42,'Historias de Usuario'!$A$5:$A$33,0))</f>
        <v>1</v>
      </c>
    </row>
    <row r="43" customFormat="false" ht="23.85" hidden="false" customHeight="false" outlineLevel="0" collapsed="false">
      <c r="A43" s="6" t="s">
        <v>15</v>
      </c>
      <c r="B43" s="7" t="s">
        <v>42</v>
      </c>
      <c r="C43" s="6" t="str">
        <f aca="false">INDEX('Historias de Usuario'!$C$5:$C$33,MATCH(B43,'Historias de Usuario'!$A$5:$A$33,0))</f>
        <v>Como analista, quiero muestrear los precios de las farmacias periódicamente, para acumular historial.</v>
      </c>
      <c r="D43" s="7" t="n">
        <f aca="false">INDEX('Historias de Usuario'!$E$5:$E$33,MATCH(B43,'Historias de Usuario'!$A$5:$A$33,0))</f>
        <v>3</v>
      </c>
      <c r="E43" s="10" t="str">
        <f aca="false">INDEX('Historias de Usuario'!$J$5:$J$33,MATCH(B43,'Historias de Usuario'!$A$5:$A$33,0))</f>
        <v>Terminada</v>
      </c>
      <c r="F43" s="7" t="n">
        <f aca="false">INDEX('Historias de Usuario'!$I$5:$I$33,MATCH(B43,'Historias de Usuario'!$A$5:$A$33,0))</f>
        <v>2</v>
      </c>
    </row>
    <row r="44" customFormat="false" ht="23.85" hidden="false" customHeight="false" outlineLevel="0" collapsed="false">
      <c r="A44" s="6" t="s">
        <v>15</v>
      </c>
      <c r="B44" s="7" t="s">
        <v>43</v>
      </c>
      <c r="C44" s="6" t="str">
        <f aca="false">INDEX('Historias de Usuario'!$C$5:$C$33,MATCH(B44,'Historias de Usuario'!$A$5:$A$33,0))</f>
        <v>Como equipo, quiero el código centralizado en Desarrollo_Proyecto y un flujo develop → main, para entregar un repositorio ordenado.</v>
      </c>
      <c r="D44" s="7" t="n">
        <f aca="false">INDEX('Historias de Usuario'!$E$5:$E$33,MATCH(B44,'Historias de Usuario'!$A$5:$A$33,0))</f>
        <v>3</v>
      </c>
      <c r="E44" s="10" t="str">
        <f aca="false">INDEX('Historias de Usuario'!$J$5:$J$33,MATCH(B44,'Historias de Usuario'!$A$5:$A$33,0))</f>
        <v>Terminada</v>
      </c>
      <c r="F44" s="7" t="n">
        <f aca="false">INDEX('Historias de Usuario'!$I$5:$I$33,MATCH(B44,'Historias de Usuario'!$A$5:$A$33,0))</f>
        <v>2</v>
      </c>
    </row>
    <row r="45" customFormat="false" ht="23.85" hidden="false" customHeight="false" outlineLevel="0" collapsed="false">
      <c r="A45" s="6" t="s">
        <v>15</v>
      </c>
      <c r="B45" s="7" t="s">
        <v>44</v>
      </c>
      <c r="C45" s="6" t="str">
        <f aca="false">INDEX('Historias de Usuario'!$C$5:$C$33,MATCH(B45,'Historias de Usuario'!$A$5:$A$33,0))</f>
        <v>Como equipo, quiero un entorno reproducible (requirements.txt y docker-compose v2), para que cualquiera levante el sistema.</v>
      </c>
      <c r="D45" s="7" t="n">
        <f aca="false">INDEX('Historias de Usuario'!$E$5:$E$33,MATCH(B45,'Historias de Usuario'!$A$5:$A$33,0))</f>
        <v>3</v>
      </c>
      <c r="E45" s="10" t="str">
        <f aca="false">INDEX('Historias de Usuario'!$J$5:$J$33,MATCH(B45,'Historias de Usuario'!$A$5:$A$33,0))</f>
        <v>Terminada</v>
      </c>
      <c r="F45" s="7" t="n">
        <f aca="false">INDEX('Historias de Usuario'!$I$5:$I$33,MATCH(B45,'Historias de Usuario'!$A$5:$A$33,0))</f>
        <v>2</v>
      </c>
    </row>
    <row r="46" customFormat="false" ht="15" hidden="false" customHeight="false" outlineLevel="0" collapsed="false">
      <c r="C46" s="4" t="s">
        <v>35</v>
      </c>
      <c r="D46" s="11" t="n">
        <f aca="false">SUMIF(A36:A45,"Planificada",D36:D45)</f>
        <v>51</v>
      </c>
    </row>
    <row r="47" customFormat="false" ht="15" hidden="false" customHeight="false" outlineLevel="0" collapsed="false">
      <c r="C47" s="4" t="s">
        <v>36</v>
      </c>
      <c r="D47" s="11" t="n">
        <f aca="false">SUMIFS('Historias de Usuario'!$E$5:$E$33,'Historias de Usuario'!$I$5:$I$33,2,'Historias de Usuario'!$J$5:$J$33,"Terminada*")</f>
        <v>9</v>
      </c>
    </row>
    <row r="48" customFormat="false" ht="23.85" hidden="false" customHeight="true" outlineLevel="0" collapsed="false">
      <c r="A48" s="4" t="s">
        <v>37</v>
      </c>
      <c r="B48" s="6" t="s">
        <v>45</v>
      </c>
      <c r="C48" s="6"/>
      <c r="D48" s="6"/>
      <c r="E48" s="6"/>
      <c r="F48" s="6"/>
    </row>
    <row r="50" customFormat="false" ht="15" hidden="false" customHeight="true" outlineLevel="0" collapsed="false">
      <c r="A50" s="3" t="s">
        <v>46</v>
      </c>
      <c r="B50" s="3"/>
      <c r="C50" s="3"/>
      <c r="D50" s="3"/>
      <c r="E50" s="3"/>
      <c r="F50" s="3"/>
    </row>
    <row r="51" customFormat="false" ht="23.85" hidden="false" customHeight="false" outlineLevel="0" collapsed="false">
      <c r="A51" s="4" t="s">
        <v>3</v>
      </c>
      <c r="B51" s="5" t="n">
        <f aca="false">Parámetros!$D$11</f>
        <v>46314</v>
      </c>
      <c r="C51" s="5" t="n">
        <f aca="false">Parámetros!$E$11</f>
        <v>46334</v>
      </c>
      <c r="D51" s="6" t="s">
        <v>47</v>
      </c>
    </row>
    <row r="52" customFormat="false" ht="15" hidden="false" customHeight="true" outlineLevel="0" collapsed="false">
      <c r="A52" s="4" t="s">
        <v>5</v>
      </c>
      <c r="B52" s="6" t="s">
        <v>48</v>
      </c>
      <c r="C52" s="6"/>
      <c r="D52" s="6"/>
      <c r="E52" s="6"/>
      <c r="F52" s="6"/>
    </row>
    <row r="53" customFormat="false" ht="15" hidden="false" customHeight="false" outlineLevel="0" collapsed="false">
      <c r="A53" s="4" t="s">
        <v>7</v>
      </c>
      <c r="B53" s="7" t="n">
        <f aca="false">2*Parámetros!$B$6*3</f>
        <v>72</v>
      </c>
      <c r="C53" s="8" t="s">
        <v>8</v>
      </c>
    </row>
    <row r="54" customFormat="false" ht="30" hidden="false" customHeight="true" outlineLevel="0" collapsed="false">
      <c r="A54" s="9" t="s">
        <v>9</v>
      </c>
      <c r="B54" s="9" t="s">
        <v>10</v>
      </c>
      <c r="C54" s="9" t="s">
        <v>11</v>
      </c>
      <c r="D54" s="9" t="s">
        <v>12</v>
      </c>
      <c r="E54" s="9" t="s">
        <v>13</v>
      </c>
      <c r="F54" s="9" t="s">
        <v>14</v>
      </c>
    </row>
    <row r="55" customFormat="false" ht="23.85" hidden="false" customHeight="false" outlineLevel="0" collapsed="false">
      <c r="A55" s="6" t="s">
        <v>15</v>
      </c>
      <c r="B55" s="7" t="s">
        <v>25</v>
      </c>
      <c r="C55" s="6" t="str">
        <f aca="false">INDEX('Historias de Usuario'!$C$5:$C$33,MATCH(B55,'Historias de Usuario'!$A$5:$A$33,0))</f>
        <v>Como paciente, quiero que BioEqui incluya los precios de Profar, para sumar una cuarta cadena.</v>
      </c>
      <c r="D55" s="7" t="n">
        <f aca="false">INDEX('Historias de Usuario'!$E$5:$E$33,MATCH(B55,'Historias de Usuario'!$A$5:$A$33,0))</f>
        <v>5</v>
      </c>
      <c r="E55" s="10" t="str">
        <f aca="false">INDEX('Historias de Usuario'!$J$5:$J$33,MATCH(B55,'Historias de Usuario'!$A$5:$A$33,0))</f>
        <v>Terminada con observación</v>
      </c>
      <c r="F55" s="7" t="n">
        <f aca="false">INDEX('Historias de Usuario'!$I$5:$I$33,MATCH(B55,'Historias de Usuario'!$A$5:$A$33,0))</f>
        <v>1</v>
      </c>
    </row>
    <row r="56" customFormat="false" ht="23.85" hidden="false" customHeight="false" outlineLevel="0" collapsed="false">
      <c r="A56" s="6" t="s">
        <v>15</v>
      </c>
      <c r="B56" s="7" t="s">
        <v>30</v>
      </c>
      <c r="C56" s="6" t="str">
        <f aca="false">INDEX('Historias de Usuario'!$C$5:$C$33,MATCH(B56,'Historias de Usuario'!$A$5:$A$33,0))</f>
        <v>Como paciente, quiero buscar por nombre o principio activo y ver las presentaciones disponibles, para encontrar el medicamento aunque no conozca la marca.</v>
      </c>
      <c r="D56" s="7" t="n">
        <f aca="false">INDEX('Historias de Usuario'!$E$5:$E$33,MATCH(B56,'Historias de Usuario'!$A$5:$A$33,0))</f>
        <v>5</v>
      </c>
      <c r="E56" s="10" t="str">
        <f aca="false">INDEX('Historias de Usuario'!$J$5:$J$33,MATCH(B56,'Historias de Usuario'!$A$5:$A$33,0))</f>
        <v>Terminada</v>
      </c>
      <c r="F56" s="7" t="n">
        <f aca="false">INDEX('Historias de Usuario'!$I$5:$I$33,MATCH(B56,'Historias de Usuario'!$A$5:$A$33,0))</f>
        <v>1</v>
      </c>
    </row>
    <row r="57" customFormat="false" ht="23.85" hidden="false" customHeight="false" outlineLevel="0" collapsed="false">
      <c r="A57" s="6" t="s">
        <v>15</v>
      </c>
      <c r="B57" s="7" t="s">
        <v>31</v>
      </c>
      <c r="C57" s="6" t="str">
        <f aca="false">INDEX('Historias de Usuario'!$C$5:$C$33,MATCH(B57,'Historias de Usuario'!$A$5:$A$33,0))</f>
        <v>Como paciente, quiero ver los tamaños de envase de una presentación, para elegir la cantidad que necesito.</v>
      </c>
      <c r="D57" s="7" t="n">
        <f aca="false">INDEX('Historias de Usuario'!$E$5:$E$33,MATCH(B57,'Historias de Usuario'!$A$5:$A$33,0))</f>
        <v>3</v>
      </c>
      <c r="E57" s="10" t="str">
        <f aca="false">INDEX('Historias de Usuario'!$J$5:$J$33,MATCH(B57,'Historias de Usuario'!$A$5:$A$33,0))</f>
        <v>Terminada</v>
      </c>
      <c r="F57" s="7" t="n">
        <f aca="false">INDEX('Historias de Usuario'!$I$5:$I$33,MATCH(B57,'Historias de Usuario'!$A$5:$A$33,0))</f>
        <v>1</v>
      </c>
    </row>
    <row r="58" customFormat="false" ht="23.85" hidden="false" customHeight="false" outlineLevel="0" collapsed="false">
      <c r="A58" s="6" t="s">
        <v>15</v>
      </c>
      <c r="B58" s="7" t="s">
        <v>32</v>
      </c>
      <c r="C58" s="6" t="str">
        <f aca="false">INDEX('Historias de Usuario'!$C$5:$C$33,MATCH(B58,'Historias de Usuario'!$A$5:$A$33,0))</f>
        <v>Como paciente, quiero comparar el precio de un mismo envase entre farmacias, para saber dónde me conviene comprar.</v>
      </c>
      <c r="D58" s="7" t="n">
        <f aca="false">INDEX('Historias de Usuario'!$E$5:$E$33,MATCH(B58,'Historias de Usuario'!$A$5:$A$33,0))</f>
        <v>5</v>
      </c>
      <c r="E58" s="10" t="str">
        <f aca="false">INDEX('Historias de Usuario'!$J$5:$J$33,MATCH(B58,'Historias de Usuario'!$A$5:$A$33,0))</f>
        <v>Terminada</v>
      </c>
      <c r="F58" s="7" t="n">
        <f aca="false">INDEX('Historias de Usuario'!$I$5:$I$33,MATCH(B58,'Historias de Usuario'!$A$5:$A$33,0))</f>
        <v>1</v>
      </c>
    </row>
    <row r="59" customFormat="false" ht="23.85" hidden="false" customHeight="false" outlineLevel="0" collapsed="false">
      <c r="A59" s="6" t="s">
        <v>15</v>
      </c>
      <c r="B59" s="7" t="s">
        <v>33</v>
      </c>
      <c r="C59" s="6" t="str">
        <f aca="false">INDEX('Historias de Usuario'!$C$5:$C$33,MATCH(B59,'Historias de Usuario'!$A$5:$A$33,0))</f>
        <v>Como paciente, quiero una página donde buscar, elegir y comparar en tres pasos, para no tener que revisar cada farmacia por separado.</v>
      </c>
      <c r="D59" s="7" t="n">
        <f aca="false">INDEX('Historias de Usuario'!$E$5:$E$33,MATCH(B59,'Historias de Usuario'!$A$5:$A$33,0))</f>
        <v>8</v>
      </c>
      <c r="E59" s="10" t="str">
        <f aca="false">INDEX('Historias de Usuario'!$J$5:$J$33,MATCH(B59,'Historias de Usuario'!$A$5:$A$33,0))</f>
        <v>Terminada</v>
      </c>
      <c r="F59" s="7" t="n">
        <f aca="false">INDEX('Historias de Usuario'!$I$5:$I$33,MATCH(B59,'Historias de Usuario'!$A$5:$A$33,0))</f>
        <v>1</v>
      </c>
    </row>
    <row r="60" customFormat="false" ht="23.85" hidden="false" customHeight="false" outlineLevel="0" collapsed="false">
      <c r="A60" s="6" t="s">
        <v>15</v>
      </c>
      <c r="B60" s="7" t="s">
        <v>49</v>
      </c>
      <c r="C60" s="6" t="str">
        <f aca="false">INDEX('Historias de Usuario'!$C$5:$C$33,MATCH(B60,'Historias de Usuario'!$A$5:$A$33,0))</f>
        <v>Como paciente, quiero ver el historial de precios de un producto, para saber si una oferta es real o permanente.</v>
      </c>
      <c r="D60" s="7" t="n">
        <f aca="false">INDEX('Historias de Usuario'!$E$5:$E$33,MATCH(B60,'Historias de Usuario'!$A$5:$A$33,0))</f>
        <v>5</v>
      </c>
      <c r="E60" s="10" t="str">
        <f aca="false">INDEX('Historias de Usuario'!$J$5:$J$33,MATCH(B60,'Historias de Usuario'!$A$5:$A$33,0))</f>
        <v>En curso</v>
      </c>
      <c r="F60" s="7" t="n">
        <f aca="false">INDEX('Historias de Usuario'!$I$5:$I$33,MATCH(B60,'Historias de Usuario'!$A$5:$A$33,0))</f>
        <v>3</v>
      </c>
    </row>
    <row r="61" customFormat="false" ht="23.85" hidden="false" customHeight="false" outlineLevel="0" collapsed="false">
      <c r="A61" s="6" t="s">
        <v>15</v>
      </c>
      <c r="B61" s="7" t="s">
        <v>50</v>
      </c>
      <c r="C61" s="6" t="str">
        <f aca="false">INDEX('Historias de Usuario'!$C$5:$C$33,MATCH(B61,'Historias de Usuario'!$A$5:$A$33,0))</f>
        <v>Como paciente, quiero que los productos combinados muestren la dosis de cada principio activo, para no confundir "Ibuprofeno Paracetamol 300 mg".</v>
      </c>
      <c r="D61" s="7" t="n">
        <f aca="false">INDEX('Historias de Usuario'!$E$5:$E$33,MATCH(B61,'Historias de Usuario'!$A$5:$A$33,0))</f>
        <v>2</v>
      </c>
      <c r="E61" s="10" t="str">
        <f aca="false">INDEX('Historias de Usuario'!$J$5:$J$33,MATCH(B61,'Historias de Usuario'!$A$5:$A$33,0))</f>
        <v>Pendiente</v>
      </c>
      <c r="F61" s="7" t="n">
        <f aca="false">INDEX('Historias de Usuario'!$I$5:$I$33,MATCH(B61,'Historias de Usuario'!$A$5:$A$33,0))</f>
        <v>3</v>
      </c>
    </row>
    <row r="62" customFormat="false" ht="23.85" hidden="false" customHeight="false" outlineLevel="0" collapsed="false">
      <c r="A62" s="6" t="s">
        <v>15</v>
      </c>
      <c r="B62" s="7" t="s">
        <v>34</v>
      </c>
      <c r="C62" s="6" t="str">
        <f aca="false">INDEX('Historias de Usuario'!$C$5:$C$33,MATCH(B62,'Historias de Usuario'!$A$5:$A$33,0))</f>
        <v>Como paciente, quiero ver la fecha del precio y una advertencia de uso informativo, para no confundir un precio antiguo con uno vigente.</v>
      </c>
      <c r="D62" s="7" t="n">
        <f aca="false">INDEX('Historias de Usuario'!$E$5:$E$33,MATCH(B62,'Historias de Usuario'!$A$5:$A$33,0))</f>
        <v>2</v>
      </c>
      <c r="E62" s="10" t="str">
        <f aca="false">INDEX('Historias de Usuario'!$J$5:$J$33,MATCH(B62,'Historias de Usuario'!$A$5:$A$33,0))</f>
        <v>Terminada</v>
      </c>
      <c r="F62" s="7" t="n">
        <f aca="false">INDEX('Historias de Usuario'!$I$5:$I$33,MATCH(B62,'Historias de Usuario'!$A$5:$A$33,0))</f>
        <v>1</v>
      </c>
    </row>
    <row r="63" customFormat="false" ht="23.85" hidden="false" customHeight="false" outlineLevel="0" collapsed="false">
      <c r="A63" s="6" t="s">
        <v>15</v>
      </c>
      <c r="B63" s="7" t="s">
        <v>51</v>
      </c>
      <c r="C63" s="6" t="str">
        <f aca="false">INDEX('Historias de Usuario'!$C$5:$C$33,MATCH(B63,'Historias de Usuario'!$A$5:$A$33,0))</f>
        <v>Como equipo, quiero que contraseñas y cookies no estén en el código versionado, para no exponer credenciales en un repositorio público.</v>
      </c>
      <c r="D63" s="7" t="n">
        <f aca="false">INDEX('Historias de Usuario'!$E$5:$E$33,MATCH(B63,'Historias de Usuario'!$A$5:$A$33,0))</f>
        <v>2</v>
      </c>
      <c r="E63" s="10" t="str">
        <f aca="false">INDEX('Historias de Usuario'!$J$5:$J$33,MATCH(B63,'Historias de Usuario'!$A$5:$A$33,0))</f>
        <v>Pendiente</v>
      </c>
      <c r="F63" s="7" t="n">
        <f aca="false">INDEX('Historias de Usuario'!$I$5:$I$33,MATCH(B63,'Historias de Usuario'!$A$5:$A$33,0))</f>
        <v>3</v>
      </c>
    </row>
    <row r="64" customFormat="false" ht="23.85" hidden="false" customHeight="false" outlineLevel="0" collapsed="false">
      <c r="A64" s="6" t="s">
        <v>15</v>
      </c>
      <c r="B64" s="7" t="s">
        <v>52</v>
      </c>
      <c r="C64" s="6" t="str">
        <f aca="false">INDEX('Historias de Usuario'!$C$5:$C$33,MATCH(B64,'Historias de Usuario'!$A$5:$A$33,0))</f>
        <v>Como equipo de datos, quiero recalcular las métricas de calidad con las cuatro farmacias, para reportar cifras actuales en el informe final.</v>
      </c>
      <c r="D64" s="7" t="n">
        <f aca="false">INDEX('Historias de Usuario'!$E$5:$E$33,MATCH(B64,'Historias de Usuario'!$A$5:$A$33,0))</f>
        <v>3</v>
      </c>
      <c r="E64" s="10" t="str">
        <f aca="false">INDEX('Historias de Usuario'!$J$5:$J$33,MATCH(B64,'Historias de Usuario'!$A$5:$A$33,0))</f>
        <v>Pendiente</v>
      </c>
      <c r="F64" s="7" t="n">
        <f aca="false">INDEX('Historias de Usuario'!$I$5:$I$33,MATCH(B64,'Historias de Usuario'!$A$5:$A$33,0))</f>
        <v>3</v>
      </c>
    </row>
    <row r="65" customFormat="false" ht="23.85" hidden="false" customHeight="false" outlineLevel="0" collapsed="false">
      <c r="A65" s="6" t="s">
        <v>15</v>
      </c>
      <c r="B65" s="7" t="s">
        <v>53</v>
      </c>
      <c r="C65" s="6" t="str">
        <f aca="false">INDEX('Historias de Usuario'!$C$5:$C$33,MATCH(B65,'Historias de Usuario'!$A$5:$A$33,0))</f>
        <v>Como paciente, quiero una página clara y usable en celular, para consultar desde cualquier dispositivo.</v>
      </c>
      <c r="D65" s="7" t="n">
        <f aca="false">INDEX('Historias de Usuario'!$E$5:$E$33,MATCH(B65,'Historias de Usuario'!$A$5:$A$33,0))</f>
        <v>5</v>
      </c>
      <c r="E65" s="10" t="str">
        <f aca="false">INDEX('Historias de Usuario'!$J$5:$J$33,MATCH(B65,'Historias de Usuario'!$A$5:$A$33,0))</f>
        <v>Pendiente</v>
      </c>
      <c r="F65" s="7" t="n">
        <f aca="false">INDEX('Historias de Usuario'!$I$5:$I$33,MATCH(B65,'Historias de Usuario'!$A$5:$A$33,0))</f>
        <v>3</v>
      </c>
    </row>
    <row r="66" customFormat="false" ht="23.85" hidden="false" customHeight="false" outlineLevel="0" collapsed="false">
      <c r="A66" s="6" t="s">
        <v>21</v>
      </c>
      <c r="B66" s="7" t="s">
        <v>54</v>
      </c>
      <c r="C66" s="6" t="str">
        <f aca="false">INDEX('Historias de Usuario'!$C$5:$C$33,MATCH(B66,'Historias de Usuario'!$A$5:$A$33,0))</f>
        <v>Como equipo de operación, quiero un script único que ejecute el flujo completo y se detenga ante errores, para actualizar los datos sin pasos manuales.</v>
      </c>
      <c r="D66" s="7" t="n">
        <f aca="false">INDEX('Historias de Usuario'!$E$5:$E$33,MATCH(B66,'Historias de Usuario'!$A$5:$A$33,0))</f>
        <v>5</v>
      </c>
      <c r="E66" s="10" t="str">
        <f aca="false">INDEX('Historias de Usuario'!$J$5:$J$33,MATCH(B66,'Historias de Usuario'!$A$5:$A$33,0))</f>
        <v>En curso</v>
      </c>
      <c r="F66" s="7" t="n">
        <f aca="false">INDEX('Historias de Usuario'!$I$5:$I$33,MATCH(B66,'Historias de Usuario'!$A$5:$A$33,0))</f>
        <v>3</v>
      </c>
    </row>
    <row r="67" customFormat="false" ht="15" hidden="false" customHeight="false" outlineLevel="0" collapsed="false">
      <c r="C67" s="4" t="s">
        <v>35</v>
      </c>
      <c r="D67" s="11" t="n">
        <f aca="false">SUMIF(A55:A66,"Planificada",D55:D66)</f>
        <v>45</v>
      </c>
    </row>
    <row r="68" customFormat="false" ht="15" hidden="false" customHeight="false" outlineLevel="0" collapsed="false">
      <c r="C68" s="4" t="s">
        <v>36</v>
      </c>
      <c r="D68" s="11" t="n">
        <f aca="false">SUMIFS('Historias de Usuario'!$E$5:$E$33,'Historias de Usuario'!$I$5:$I$33,3,'Historias de Usuario'!$J$5:$J$33,"Terminada*")</f>
        <v>0</v>
      </c>
    </row>
    <row r="69" customFormat="false" ht="15" hidden="false" customHeight="true" outlineLevel="0" collapsed="false">
      <c r="A69" s="4" t="s">
        <v>37</v>
      </c>
      <c r="B69" s="6" t="s">
        <v>55</v>
      </c>
      <c r="C69" s="6"/>
      <c r="D69" s="6"/>
      <c r="E69" s="6"/>
      <c r="F69" s="6"/>
    </row>
    <row r="71" customFormat="false" ht="15" hidden="false" customHeight="true" outlineLevel="0" collapsed="false">
      <c r="A71" s="3" t="s">
        <v>56</v>
      </c>
      <c r="B71" s="3"/>
      <c r="C71" s="3"/>
      <c r="D71" s="3"/>
      <c r="E71" s="3"/>
      <c r="F71" s="3"/>
    </row>
    <row r="72" customFormat="false" ht="23.85" hidden="false" customHeight="false" outlineLevel="0" collapsed="false">
      <c r="A72" s="4" t="s">
        <v>3</v>
      </c>
      <c r="B72" s="5" t="n">
        <f aca="false">Parámetros!$D$12</f>
        <v>46335</v>
      </c>
      <c r="C72" s="5" t="n">
        <f aca="false">Parámetros!$E$12</f>
        <v>46355</v>
      </c>
      <c r="D72" s="6" t="s">
        <v>57</v>
      </c>
    </row>
    <row r="73" customFormat="false" ht="15" hidden="false" customHeight="true" outlineLevel="0" collapsed="false">
      <c r="A73" s="4" t="s">
        <v>5</v>
      </c>
      <c r="B73" s="6" t="s">
        <v>58</v>
      </c>
      <c r="C73" s="6"/>
      <c r="D73" s="6"/>
      <c r="E73" s="6"/>
      <c r="F73" s="6"/>
    </row>
    <row r="74" customFormat="false" ht="15" hidden="false" customHeight="false" outlineLevel="0" collapsed="false">
      <c r="A74" s="4" t="s">
        <v>7</v>
      </c>
      <c r="B74" s="7" t="n">
        <f aca="false">2*Parámetros!$B$6*3</f>
        <v>72</v>
      </c>
      <c r="C74" s="8" t="s">
        <v>8</v>
      </c>
    </row>
    <row r="75" customFormat="false" ht="30" hidden="false" customHeight="true" outlineLevel="0" collapsed="false">
      <c r="A75" s="9" t="s">
        <v>9</v>
      </c>
      <c r="B75" s="9" t="s">
        <v>10</v>
      </c>
      <c r="C75" s="9" t="s">
        <v>11</v>
      </c>
      <c r="D75" s="9" t="s">
        <v>12</v>
      </c>
      <c r="E75" s="9" t="s">
        <v>13</v>
      </c>
      <c r="F75" s="9" t="s">
        <v>14</v>
      </c>
    </row>
    <row r="76" customFormat="false" ht="23.85" hidden="false" customHeight="false" outlineLevel="0" collapsed="false">
      <c r="A76" s="6" t="s">
        <v>15</v>
      </c>
      <c r="B76" s="7" t="s">
        <v>54</v>
      </c>
      <c r="C76" s="6" t="str">
        <f aca="false">INDEX('Historias de Usuario'!$C$5:$C$33,MATCH(B76,'Historias de Usuario'!$A$5:$A$33,0))</f>
        <v>Como equipo de operación, quiero un script único que ejecute el flujo completo y se detenga ante errores, para actualizar los datos sin pasos manuales.</v>
      </c>
      <c r="D76" s="7" t="n">
        <f aca="false">INDEX('Historias de Usuario'!$E$5:$E$33,MATCH(B76,'Historias de Usuario'!$A$5:$A$33,0))</f>
        <v>5</v>
      </c>
      <c r="E76" s="10" t="str">
        <f aca="false">INDEX('Historias de Usuario'!$J$5:$J$33,MATCH(B76,'Historias de Usuario'!$A$5:$A$33,0))</f>
        <v>En curso</v>
      </c>
      <c r="F76" s="7" t="n">
        <f aca="false">INDEX('Historias de Usuario'!$I$5:$I$33,MATCH(B76,'Historias de Usuario'!$A$5:$A$33,0))</f>
        <v>3</v>
      </c>
    </row>
    <row r="77" customFormat="false" ht="23.85" hidden="false" customHeight="false" outlineLevel="0" collapsed="false">
      <c r="A77" s="6" t="s">
        <v>15</v>
      </c>
      <c r="B77" s="7" t="s">
        <v>59</v>
      </c>
      <c r="C77" s="6" t="str">
        <f aca="false">INDEX('Historias de Usuario'!$C$5:$C$33,MATCH(B77,'Historias de Usuario'!$A$5:$A$33,0))</f>
        <v>Como equipo, quiero casos de prueba documentados para la API, la página y la carga, para demostrar que el sistema funciona.</v>
      </c>
      <c r="D77" s="7" t="n">
        <f aca="false">INDEX('Historias de Usuario'!$E$5:$E$33,MATCH(B77,'Historias de Usuario'!$A$5:$A$33,0))</f>
        <v>5</v>
      </c>
      <c r="E77" s="10" t="str">
        <f aca="false">INDEX('Historias de Usuario'!$J$5:$J$33,MATCH(B77,'Historias de Usuario'!$A$5:$A$33,0))</f>
        <v>Pendiente</v>
      </c>
      <c r="F77" s="7" t="n">
        <f aca="false">INDEX('Historias de Usuario'!$I$5:$I$33,MATCH(B77,'Historias de Usuario'!$A$5:$A$33,0))</f>
        <v>4</v>
      </c>
    </row>
    <row r="78" customFormat="false" ht="23.85" hidden="false" customHeight="false" outlineLevel="0" collapsed="false">
      <c r="A78" s="6" t="s">
        <v>15</v>
      </c>
      <c r="B78" s="7" t="s">
        <v>60</v>
      </c>
      <c r="C78" s="6" t="str">
        <f aca="false">INDEX('Historias de Usuario'!$C$5:$C$33,MATCH(B78,'Historias de Usuario'!$A$5:$A$33,0))</f>
        <v>Como paciente, quiero acceder a BioEqui desde internet, para no depender del computador del equipo.</v>
      </c>
      <c r="D78" s="7" t="n">
        <f aca="false">INDEX('Historias de Usuario'!$E$5:$E$33,MATCH(B78,'Historias de Usuario'!$A$5:$A$33,0))</f>
        <v>8</v>
      </c>
      <c r="E78" s="10" t="str">
        <f aca="false">INDEX('Historias de Usuario'!$J$5:$J$33,MATCH(B78,'Historias de Usuario'!$A$5:$A$33,0))</f>
        <v>No iniciada</v>
      </c>
      <c r="F78" s="7" t="n">
        <f aca="false">INDEX('Historias de Usuario'!$I$5:$I$33,MATCH(B78,'Historias de Usuario'!$A$5:$A$33,0))</f>
        <v>4</v>
      </c>
    </row>
    <row r="79" customFormat="false" ht="15" hidden="false" customHeight="false" outlineLevel="0" collapsed="false">
      <c r="C79" s="4" t="s">
        <v>35</v>
      </c>
      <c r="D79" s="11" t="n">
        <f aca="false">SUMIF(A76:A78,"Planificada",D76:D78)</f>
        <v>18</v>
      </c>
    </row>
    <row r="80" customFormat="false" ht="15" hidden="false" customHeight="false" outlineLevel="0" collapsed="false">
      <c r="C80" s="4" t="s">
        <v>36</v>
      </c>
      <c r="D80" s="11" t="n">
        <f aca="false">SUMIFS('Historias de Usuario'!$E$5:$E$33,'Historias de Usuario'!$I$5:$I$33,4,'Historias de Usuario'!$J$5:$J$33,"Terminada*")</f>
        <v>0</v>
      </c>
    </row>
    <row r="81" customFormat="false" ht="15" hidden="false" customHeight="true" outlineLevel="0" collapsed="false">
      <c r="A81" s="4" t="s">
        <v>37</v>
      </c>
      <c r="B81" s="6" t="s">
        <v>61</v>
      </c>
      <c r="C81" s="6"/>
      <c r="D81" s="6"/>
      <c r="E81" s="6"/>
      <c r="F81" s="6"/>
    </row>
  </sheetData>
  <mergeCells count="12">
    <mergeCell ref="A4:F4"/>
    <mergeCell ref="B6:F6"/>
    <mergeCell ref="B29:F29"/>
    <mergeCell ref="A31:F31"/>
    <mergeCell ref="B33:F33"/>
    <mergeCell ref="B48:F48"/>
    <mergeCell ref="A50:F50"/>
    <mergeCell ref="B52:F52"/>
    <mergeCell ref="B69:F69"/>
    <mergeCell ref="A71:F71"/>
    <mergeCell ref="B73:F73"/>
    <mergeCell ref="B81:F81"/>
  </mergeCells>
  <conditionalFormatting sqref="E9:E26">
    <cfRule type="expression" priority="2" aboveAverage="0" equalAverage="0" bottom="0" percent="0" rank="0" text="" dxfId="0">
      <formula>ISNUMBER(SEARCH("Terminad",E9))</formula>
    </cfRule>
    <cfRule type="expression" priority="3" aboveAverage="0" equalAverage="0" bottom="0" percent="0" rank="0" text="" dxfId="0">
      <formula>ISNUMBER(SEARCH("Cerrado",E9))</formula>
    </cfRule>
    <cfRule type="expression" priority="4" aboveAverage="0" equalAverage="0" bottom="0" percent="0" rank="0" text="" dxfId="0">
      <formula>ISNUMBER(SEARCH("Completad",E9))</formula>
    </cfRule>
    <cfRule type="expression" priority="5" aboveAverage="0" equalAverage="0" bottom="0" percent="0" rank="0" text="" dxfId="0">
      <formula>ISNUMBER(SEARCH("Implementado",E9))</formula>
    </cfRule>
    <cfRule type="expression" priority="6" aboveAverage="0" equalAverage="0" bottom="0" percent="0" rank="0" text="" dxfId="0">
      <formula>ISNUMBER(SEARCH("Controlado",E9))</formula>
    </cfRule>
    <cfRule type="expression" priority="7" aboveAverage="0" equalAverage="0" bottom="0" percent="0" rank="0" text="" dxfId="1">
      <formula>ISNUMBER(SEARCH("En curso",E9))</formula>
    </cfRule>
    <cfRule type="expression" priority="8" aboveAverage="0" equalAverage="0" bottom="0" percent="0" rank="0" text="" dxfId="2">
      <formula>ISNUMBER(SEARCH("Abierto",E9))</formula>
    </cfRule>
    <cfRule type="expression" priority="9" aboveAverage="0" equalAverage="0" bottom="0" percent="0" rank="0" text="" dxfId="3">
      <formula>ISNUMBER(SEARCH("Pendiente",E9))</formula>
    </cfRule>
    <cfRule type="expression" priority="10" aboveAverage="0" equalAverage="0" bottom="0" percent="0" rank="0" text="" dxfId="3">
      <formula>ISNUMBER(SEARCH("No iniciad",E9))</formula>
    </cfRule>
    <cfRule type="expression" priority="11" aboveAverage="0" equalAverage="0" bottom="0" percent="0" rank="0" text="" dxfId="1">
      <formula>ISNUMBER(SEARCH("En revisión",E9))</formula>
    </cfRule>
    <cfRule type="expression" priority="12" aboveAverage="0" equalAverage="0" bottom="0" percent="0" rank="0" text="" dxfId="1">
      <formula>ISNUMBER(SEARCH("Activo",E9))</formula>
    </cfRule>
  </conditionalFormatting>
  <conditionalFormatting sqref="E36:E45">
    <cfRule type="expression" priority="13" aboveAverage="0" equalAverage="0" bottom="0" percent="0" rank="0" text="" dxfId="0">
      <formula>ISNUMBER(SEARCH("Terminad",E36))</formula>
    </cfRule>
    <cfRule type="expression" priority="14" aboveAverage="0" equalAverage="0" bottom="0" percent="0" rank="0" text="" dxfId="0">
      <formula>ISNUMBER(SEARCH("Cerrado",E36))</formula>
    </cfRule>
    <cfRule type="expression" priority="15" aboveAverage="0" equalAverage="0" bottom="0" percent="0" rank="0" text="" dxfId="0">
      <formula>ISNUMBER(SEARCH("Completad",E36))</formula>
    </cfRule>
    <cfRule type="expression" priority="16" aboveAverage="0" equalAverage="0" bottom="0" percent="0" rank="0" text="" dxfId="0">
      <formula>ISNUMBER(SEARCH("Implementado",E36))</formula>
    </cfRule>
    <cfRule type="expression" priority="17" aboveAverage="0" equalAverage="0" bottom="0" percent="0" rank="0" text="" dxfId="0">
      <formula>ISNUMBER(SEARCH("Controlado",E36))</formula>
    </cfRule>
    <cfRule type="expression" priority="18" aboveAverage="0" equalAverage="0" bottom="0" percent="0" rank="0" text="" dxfId="1">
      <formula>ISNUMBER(SEARCH("En curso",E36))</formula>
    </cfRule>
    <cfRule type="expression" priority="19" aboveAverage="0" equalAverage="0" bottom="0" percent="0" rank="0" text="" dxfId="2">
      <formula>ISNUMBER(SEARCH("Abierto",E36))</formula>
    </cfRule>
    <cfRule type="expression" priority="20" aboveAverage="0" equalAverage="0" bottom="0" percent="0" rank="0" text="" dxfId="3">
      <formula>ISNUMBER(SEARCH("Pendiente",E36))</formula>
    </cfRule>
    <cfRule type="expression" priority="21" aboveAverage="0" equalAverage="0" bottom="0" percent="0" rank="0" text="" dxfId="3">
      <formula>ISNUMBER(SEARCH("No iniciad",E36))</formula>
    </cfRule>
    <cfRule type="expression" priority="22" aboveAverage="0" equalAverage="0" bottom="0" percent="0" rank="0" text="" dxfId="1">
      <formula>ISNUMBER(SEARCH("En revisión",E36))</formula>
    </cfRule>
    <cfRule type="expression" priority="23" aboveAverage="0" equalAverage="0" bottom="0" percent="0" rank="0" text="" dxfId="1">
      <formula>ISNUMBER(SEARCH("Activo",E36))</formula>
    </cfRule>
  </conditionalFormatting>
  <conditionalFormatting sqref="E55:E66">
    <cfRule type="expression" priority="24" aboveAverage="0" equalAverage="0" bottom="0" percent="0" rank="0" text="" dxfId="0">
      <formula>ISNUMBER(SEARCH("Terminad",E55))</formula>
    </cfRule>
    <cfRule type="expression" priority="25" aboveAverage="0" equalAverage="0" bottom="0" percent="0" rank="0" text="" dxfId="0">
      <formula>ISNUMBER(SEARCH("Cerrado",E55))</formula>
    </cfRule>
    <cfRule type="expression" priority="26" aboveAverage="0" equalAverage="0" bottom="0" percent="0" rank="0" text="" dxfId="0">
      <formula>ISNUMBER(SEARCH("Completad",E55))</formula>
    </cfRule>
    <cfRule type="expression" priority="27" aboveAverage="0" equalAverage="0" bottom="0" percent="0" rank="0" text="" dxfId="0">
      <formula>ISNUMBER(SEARCH("Implementado",E55))</formula>
    </cfRule>
    <cfRule type="expression" priority="28" aboveAverage="0" equalAverage="0" bottom="0" percent="0" rank="0" text="" dxfId="0">
      <formula>ISNUMBER(SEARCH("Controlado",E55))</formula>
    </cfRule>
    <cfRule type="expression" priority="29" aboveAverage="0" equalAverage="0" bottom="0" percent="0" rank="0" text="" dxfId="1">
      <formula>ISNUMBER(SEARCH("En curso",E55))</formula>
    </cfRule>
    <cfRule type="expression" priority="30" aboveAverage="0" equalAverage="0" bottom="0" percent="0" rank="0" text="" dxfId="2">
      <formula>ISNUMBER(SEARCH("Abierto",E55))</formula>
    </cfRule>
    <cfRule type="expression" priority="31" aboveAverage="0" equalAverage="0" bottom="0" percent="0" rank="0" text="" dxfId="3">
      <formula>ISNUMBER(SEARCH("Pendiente",E55))</formula>
    </cfRule>
    <cfRule type="expression" priority="32" aboveAverage="0" equalAverage="0" bottom="0" percent="0" rank="0" text="" dxfId="3">
      <formula>ISNUMBER(SEARCH("No iniciad",E55))</formula>
    </cfRule>
    <cfRule type="expression" priority="33" aboveAverage="0" equalAverage="0" bottom="0" percent="0" rank="0" text="" dxfId="1">
      <formula>ISNUMBER(SEARCH("En revisión",E55))</formula>
    </cfRule>
    <cfRule type="expression" priority="34" aboveAverage="0" equalAverage="0" bottom="0" percent="0" rank="0" text="" dxfId="1">
      <formula>ISNUMBER(SEARCH("Activo",E55))</formula>
    </cfRule>
  </conditionalFormatting>
  <conditionalFormatting sqref="E76:E78">
    <cfRule type="expression" priority="35" aboveAverage="0" equalAverage="0" bottom="0" percent="0" rank="0" text="" dxfId="0">
      <formula>ISNUMBER(SEARCH("Terminad",E76))</formula>
    </cfRule>
    <cfRule type="expression" priority="36" aboveAverage="0" equalAverage="0" bottom="0" percent="0" rank="0" text="" dxfId="0">
      <formula>ISNUMBER(SEARCH("Cerrado",E76))</formula>
    </cfRule>
    <cfRule type="expression" priority="37" aboveAverage="0" equalAverage="0" bottom="0" percent="0" rank="0" text="" dxfId="0">
      <formula>ISNUMBER(SEARCH("Completad",E76))</formula>
    </cfRule>
    <cfRule type="expression" priority="38" aboveAverage="0" equalAverage="0" bottom="0" percent="0" rank="0" text="" dxfId="0">
      <formula>ISNUMBER(SEARCH("Implementado",E76))</formula>
    </cfRule>
    <cfRule type="expression" priority="39" aboveAverage="0" equalAverage="0" bottom="0" percent="0" rank="0" text="" dxfId="0">
      <formula>ISNUMBER(SEARCH("Controlado",E76))</formula>
    </cfRule>
    <cfRule type="expression" priority="40" aboveAverage="0" equalAverage="0" bottom="0" percent="0" rank="0" text="" dxfId="1">
      <formula>ISNUMBER(SEARCH("En curso",E76))</formula>
    </cfRule>
    <cfRule type="expression" priority="41" aboveAverage="0" equalAverage="0" bottom="0" percent="0" rank="0" text="" dxfId="2">
      <formula>ISNUMBER(SEARCH("Abierto",E76))</formula>
    </cfRule>
    <cfRule type="expression" priority="42" aboveAverage="0" equalAverage="0" bottom="0" percent="0" rank="0" text="" dxfId="3">
      <formula>ISNUMBER(SEARCH("Pendiente",E76))</formula>
    </cfRule>
    <cfRule type="expression" priority="43" aboveAverage="0" equalAverage="0" bottom="0" percent="0" rank="0" text="" dxfId="3">
      <formula>ISNUMBER(SEARCH("No iniciad",E76))</formula>
    </cfRule>
    <cfRule type="expression" priority="44" aboveAverage="0" equalAverage="0" bottom="0" percent="0" rank="0" text="" dxfId="1">
      <formula>ISNUMBER(SEARCH("En revisión",E76))</formula>
    </cfRule>
    <cfRule type="expression" priority="45" aboveAverage="0" equalAverage="0" bottom="0" percent="0" rank="0" text="" dxfId="1">
      <formula>ISNUMBER(SEARCH("Activo",E76))</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4"/>
    <col collapsed="false" customWidth="true" hidden="false" outlineLevel="0" max="6" min="6" style="0" width="70"/>
  </cols>
  <sheetData>
    <row r="1" customFormat="false" ht="17.35" hidden="false" customHeight="false" outlineLevel="0" collapsed="false">
      <c r="A1" s="1" t="s">
        <v>62</v>
      </c>
    </row>
    <row r="2" customFormat="false" ht="15" hidden="false" customHeight="false" outlineLevel="0" collapsed="false">
      <c r="A2" s="2" t="s">
        <v>63</v>
      </c>
    </row>
    <row r="4" customFormat="false" ht="43.25" hidden="false" customHeight="false" outlineLevel="0" collapsed="false">
      <c r="A4" s="4" t="s">
        <v>64</v>
      </c>
      <c r="B4" s="12" t="n">
        <v>46244</v>
      </c>
      <c r="C4" s="13" t="s">
        <v>65</v>
      </c>
    </row>
    <row r="5" customFormat="false" ht="15" hidden="false" customHeight="false" outlineLevel="0" collapsed="false">
      <c r="A5" s="4" t="s">
        <v>66</v>
      </c>
      <c r="B5" s="5" t="n">
        <v>46310</v>
      </c>
    </row>
    <row r="6" customFormat="false" ht="43.25" hidden="false" customHeight="false" outlineLevel="0" collapsed="false">
      <c r="A6" s="4" t="s">
        <v>67</v>
      </c>
      <c r="B6" s="14" t="n">
        <v>12</v>
      </c>
      <c r="C6" s="13" t="s">
        <v>68</v>
      </c>
    </row>
    <row r="8" customFormat="false" ht="30" hidden="false" customHeight="true" outlineLevel="0" collapsed="false">
      <c r="A8" s="9" t="s">
        <v>69</v>
      </c>
      <c r="B8" s="9" t="s">
        <v>70</v>
      </c>
      <c r="C8" s="9" t="s">
        <v>71</v>
      </c>
      <c r="D8" s="9" t="s">
        <v>72</v>
      </c>
      <c r="E8" s="9" t="s">
        <v>73</v>
      </c>
      <c r="F8" s="9" t="s">
        <v>74</v>
      </c>
    </row>
    <row r="9" customFormat="false" ht="23.85" hidden="false" customHeight="false" outlineLevel="0" collapsed="false">
      <c r="A9" s="7" t="n">
        <v>1</v>
      </c>
      <c r="B9" s="7" t="n">
        <v>5</v>
      </c>
      <c r="C9" s="7" t="n">
        <v>7</v>
      </c>
      <c r="D9" s="5" t="n">
        <f aca="false">$B$4+(B9-1)*7</f>
        <v>46272</v>
      </c>
      <c r="E9" s="5" t="n">
        <f aca="false">$B$4+C9*7-1</f>
        <v>46292</v>
      </c>
      <c r="F9" s="6" t="s">
        <v>6</v>
      </c>
    </row>
    <row r="10" customFormat="false" ht="15" hidden="false" customHeight="false" outlineLevel="0" collapsed="false">
      <c r="A10" s="7" t="n">
        <v>2</v>
      </c>
      <c r="B10" s="7" t="n">
        <v>8</v>
      </c>
      <c r="C10" s="7" t="n">
        <v>10</v>
      </c>
      <c r="D10" s="5" t="n">
        <f aca="false">$B$4+(B10-1)*7</f>
        <v>46293</v>
      </c>
      <c r="E10" s="5" t="n">
        <f aca="false">$B$4+C10*7-1</f>
        <v>46313</v>
      </c>
      <c r="F10" s="6" t="s">
        <v>41</v>
      </c>
    </row>
    <row r="11" customFormat="false" ht="23.85" hidden="false" customHeight="false" outlineLevel="0" collapsed="false">
      <c r="A11" s="7" t="n">
        <v>3</v>
      </c>
      <c r="B11" s="7" t="n">
        <v>11</v>
      </c>
      <c r="C11" s="7" t="n">
        <v>13</v>
      </c>
      <c r="D11" s="5" t="n">
        <f aca="false">$B$4+(B11-1)*7</f>
        <v>46314</v>
      </c>
      <c r="E11" s="5" t="n">
        <f aca="false">$B$4+C11*7-1</f>
        <v>46334</v>
      </c>
      <c r="F11" s="6" t="s">
        <v>48</v>
      </c>
    </row>
    <row r="12" customFormat="false" ht="15" hidden="false" customHeight="false" outlineLevel="0" collapsed="false">
      <c r="A12" s="7" t="n">
        <v>4</v>
      </c>
      <c r="B12" s="7" t="n">
        <v>14</v>
      </c>
      <c r="C12" s="7" t="n">
        <v>16</v>
      </c>
      <c r="D12" s="5" t="n">
        <f aca="false">$B$4+(B12-1)*7</f>
        <v>46335</v>
      </c>
      <c r="E12" s="5" t="n">
        <f aca="false">$B$4+C12*7-1</f>
        <v>46355</v>
      </c>
      <c r="F12" s="6" t="s">
        <v>58</v>
      </c>
    </row>
  </sheetData>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M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7"/>
    <col collapsed="false" customWidth="true" hidden="false" outlineLevel="0" max="3" min="3" style="0" width="48"/>
    <col collapsed="false" customWidth="true" hidden="false" outlineLevel="0" max="4" min="4" style="0" width="62"/>
    <col collapsed="false" customWidth="true" hidden="false" outlineLevel="0" max="6" min="5" style="0" width="9"/>
    <col collapsed="false" customWidth="true" hidden="false" outlineLevel="0" max="7" min="7" style="0" width="7"/>
    <col collapsed="false" customWidth="true" hidden="false" outlineLevel="0" max="8" min="8" style="0" width="10"/>
    <col collapsed="false" customWidth="true" hidden="false" outlineLevel="0" max="9" min="9" style="0" width="9"/>
    <col collapsed="false" customWidth="true" hidden="false" outlineLevel="0" max="10" min="10" style="0" width="15"/>
    <col collapsed="false" customWidth="true" hidden="false" outlineLevel="0" max="11" min="11" style="0" width="20"/>
    <col collapsed="false" customWidth="true" hidden="false" outlineLevel="0" max="12" min="12" style="0" width="12"/>
    <col collapsed="false" customWidth="true" hidden="false" outlineLevel="0" max="13" min="13" style="0" width="20"/>
  </cols>
  <sheetData>
    <row r="1" customFormat="false" ht="17.35" hidden="false" customHeight="false" outlineLevel="0" collapsed="false">
      <c r="A1" s="1" t="s">
        <v>75</v>
      </c>
    </row>
    <row r="2" customFormat="false" ht="15" hidden="false" customHeight="false" outlineLevel="0" collapsed="false">
      <c r="A2" s="2" t="s">
        <v>76</v>
      </c>
    </row>
    <row r="3" customFormat="false" ht="105.95" hidden="false" customHeight="false" outlineLevel="0" collapsed="false">
      <c r="A3" s="15" t="s">
        <v>77</v>
      </c>
    </row>
    <row r="4" customFormat="false" ht="30" hidden="false" customHeight="true" outlineLevel="0" collapsed="false">
      <c r="A4" s="9" t="s">
        <v>10</v>
      </c>
      <c r="B4" s="9" t="s">
        <v>78</v>
      </c>
      <c r="C4" s="9" t="s">
        <v>79</v>
      </c>
      <c r="D4" s="9" t="s">
        <v>80</v>
      </c>
      <c r="E4" s="9" t="s">
        <v>12</v>
      </c>
      <c r="F4" s="9" t="s">
        <v>81</v>
      </c>
      <c r="G4" s="9" t="s">
        <v>82</v>
      </c>
      <c r="H4" s="9" t="s">
        <v>83</v>
      </c>
      <c r="I4" s="9" t="s">
        <v>84</v>
      </c>
      <c r="J4" s="9" t="s">
        <v>85</v>
      </c>
      <c r="K4" s="9" t="s">
        <v>86</v>
      </c>
      <c r="L4" s="9" t="s">
        <v>87</v>
      </c>
      <c r="M4" s="9" t="s">
        <v>88</v>
      </c>
    </row>
    <row r="5" customFormat="false" ht="46.25" hidden="false" customHeight="false" outlineLevel="0" collapsed="false">
      <c r="A5" s="7" t="s">
        <v>16</v>
      </c>
      <c r="B5" s="7" t="s">
        <v>89</v>
      </c>
      <c r="C5" s="6" t="s">
        <v>90</v>
      </c>
      <c r="D5" s="6" t="s">
        <v>91</v>
      </c>
      <c r="E5" s="7" t="n">
        <v>3</v>
      </c>
      <c r="F5" s="10" t="s">
        <v>92</v>
      </c>
      <c r="G5" s="7" t="n">
        <v>5</v>
      </c>
      <c r="H5" s="7" t="n">
        <v>1</v>
      </c>
      <c r="I5" s="7" t="n">
        <v>1</v>
      </c>
      <c r="J5" s="6" t="s">
        <v>93</v>
      </c>
      <c r="K5" s="6" t="s">
        <v>94</v>
      </c>
      <c r="L5" s="5" t="n">
        <v>46273</v>
      </c>
      <c r="M5" s="6" t="s">
        <v>95</v>
      </c>
    </row>
    <row r="6" customFormat="false" ht="57.45" hidden="false" customHeight="false" outlineLevel="0" collapsed="false">
      <c r="A6" s="7" t="s">
        <v>17</v>
      </c>
      <c r="B6" s="7" t="s">
        <v>89</v>
      </c>
      <c r="C6" s="6" t="s">
        <v>96</v>
      </c>
      <c r="D6" s="6" t="s">
        <v>97</v>
      </c>
      <c r="E6" s="7" t="n">
        <v>8</v>
      </c>
      <c r="F6" s="10" t="s">
        <v>92</v>
      </c>
      <c r="G6" s="7" t="n">
        <v>5</v>
      </c>
      <c r="H6" s="7" t="n">
        <v>1</v>
      </c>
      <c r="I6" s="7" t="n">
        <v>1</v>
      </c>
      <c r="J6" s="6" t="s">
        <v>93</v>
      </c>
      <c r="K6" s="6" t="s">
        <v>98</v>
      </c>
      <c r="L6" s="5" t="n">
        <v>46273</v>
      </c>
      <c r="M6" s="6" t="s">
        <v>99</v>
      </c>
    </row>
    <row r="7" customFormat="false" ht="46.25" hidden="false" customHeight="false" outlineLevel="0" collapsed="false">
      <c r="A7" s="7" t="s">
        <v>22</v>
      </c>
      <c r="B7" s="7" t="s">
        <v>100</v>
      </c>
      <c r="C7" s="6" t="s">
        <v>101</v>
      </c>
      <c r="D7" s="6" t="s">
        <v>102</v>
      </c>
      <c r="E7" s="7" t="n">
        <v>5</v>
      </c>
      <c r="F7" s="10" t="s">
        <v>92</v>
      </c>
      <c r="G7" s="7" t="n">
        <v>5</v>
      </c>
      <c r="H7" s="7" t="n">
        <v>2</v>
      </c>
      <c r="I7" s="7" t="n">
        <v>1</v>
      </c>
      <c r="J7" s="6" t="s">
        <v>93</v>
      </c>
      <c r="K7" s="6" t="s">
        <v>94</v>
      </c>
      <c r="L7" s="5" t="n">
        <v>46273</v>
      </c>
      <c r="M7" s="6" t="s">
        <v>103</v>
      </c>
    </row>
    <row r="8" customFormat="false" ht="57.45" hidden="false" customHeight="false" outlineLevel="0" collapsed="false">
      <c r="A8" s="7" t="s">
        <v>23</v>
      </c>
      <c r="B8" s="7" t="s">
        <v>100</v>
      </c>
      <c r="C8" s="6" t="s">
        <v>104</v>
      </c>
      <c r="D8" s="6" t="s">
        <v>105</v>
      </c>
      <c r="E8" s="7" t="n">
        <v>8</v>
      </c>
      <c r="F8" s="10" t="s">
        <v>92</v>
      </c>
      <c r="G8" s="7" t="n">
        <v>4</v>
      </c>
      <c r="H8" s="7" t="n">
        <v>2</v>
      </c>
      <c r="I8" s="7" t="n">
        <v>1</v>
      </c>
      <c r="J8" s="6" t="s">
        <v>106</v>
      </c>
      <c r="K8" s="6" t="s">
        <v>94</v>
      </c>
      <c r="L8" s="5" t="n">
        <v>46275</v>
      </c>
      <c r="M8" s="6" t="s">
        <v>107</v>
      </c>
    </row>
    <row r="9" customFormat="false" ht="46.25" hidden="false" customHeight="false" outlineLevel="0" collapsed="false">
      <c r="A9" s="7" t="s">
        <v>24</v>
      </c>
      <c r="B9" s="7" t="s">
        <v>100</v>
      </c>
      <c r="C9" s="6" t="s">
        <v>108</v>
      </c>
      <c r="D9" s="6" t="s">
        <v>109</v>
      </c>
      <c r="E9" s="7" t="n">
        <v>8</v>
      </c>
      <c r="F9" s="10" t="s">
        <v>92</v>
      </c>
      <c r="G9" s="7" t="n">
        <v>4</v>
      </c>
      <c r="H9" s="7" t="n">
        <v>2</v>
      </c>
      <c r="I9" s="7" t="n">
        <v>1</v>
      </c>
      <c r="J9" s="6" t="s">
        <v>93</v>
      </c>
      <c r="K9" s="6" t="s">
        <v>98</v>
      </c>
      <c r="L9" s="5" t="n">
        <v>46286</v>
      </c>
      <c r="M9" s="6" t="s">
        <v>110</v>
      </c>
    </row>
    <row r="10" customFormat="false" ht="35.05" hidden="false" customHeight="false" outlineLevel="0" collapsed="false">
      <c r="A10" s="7" t="s">
        <v>25</v>
      </c>
      <c r="B10" s="7" t="s">
        <v>100</v>
      </c>
      <c r="C10" s="6" t="s">
        <v>111</v>
      </c>
      <c r="D10" s="6" t="s">
        <v>112</v>
      </c>
      <c r="E10" s="7" t="n">
        <v>5</v>
      </c>
      <c r="F10" s="10" t="s">
        <v>113</v>
      </c>
      <c r="G10" s="7" t="n">
        <v>3</v>
      </c>
      <c r="H10" s="7" t="n">
        <v>3</v>
      </c>
      <c r="I10" s="7" t="n">
        <v>1</v>
      </c>
      <c r="J10" s="6" t="s">
        <v>106</v>
      </c>
      <c r="K10" s="6" t="s">
        <v>114</v>
      </c>
      <c r="L10" s="5" t="n">
        <v>46289</v>
      </c>
      <c r="M10" s="6" t="s">
        <v>115</v>
      </c>
    </row>
    <row r="11" customFormat="false" ht="46.25" hidden="false" customHeight="false" outlineLevel="0" collapsed="false">
      <c r="A11" s="7" t="s">
        <v>18</v>
      </c>
      <c r="B11" s="7" t="s">
        <v>116</v>
      </c>
      <c r="C11" s="6" t="s">
        <v>117</v>
      </c>
      <c r="D11" s="6" t="s">
        <v>118</v>
      </c>
      <c r="E11" s="7" t="n">
        <v>3</v>
      </c>
      <c r="F11" s="10" t="s">
        <v>92</v>
      </c>
      <c r="G11" s="7" t="n">
        <v>5</v>
      </c>
      <c r="H11" s="7" t="n">
        <v>1</v>
      </c>
      <c r="I11" s="7" t="n">
        <v>1</v>
      </c>
      <c r="J11" s="6" t="s">
        <v>119</v>
      </c>
      <c r="K11" s="6" t="s">
        <v>94</v>
      </c>
      <c r="L11" s="5"/>
      <c r="M11" s="6" t="s">
        <v>120</v>
      </c>
    </row>
    <row r="12" customFormat="false" ht="46.25" hidden="false" customHeight="false" outlineLevel="0" collapsed="false">
      <c r="A12" s="7" t="s">
        <v>26</v>
      </c>
      <c r="B12" s="7" t="s">
        <v>121</v>
      </c>
      <c r="C12" s="6" t="s">
        <v>122</v>
      </c>
      <c r="D12" s="6" t="s">
        <v>123</v>
      </c>
      <c r="E12" s="7" t="n">
        <v>5</v>
      </c>
      <c r="F12" s="10" t="s">
        <v>92</v>
      </c>
      <c r="G12" s="7" t="n">
        <v>5</v>
      </c>
      <c r="H12" s="7" t="n">
        <v>2</v>
      </c>
      <c r="I12" s="7" t="n">
        <v>1</v>
      </c>
      <c r="J12" s="6" t="s">
        <v>93</v>
      </c>
      <c r="K12" s="6" t="s">
        <v>98</v>
      </c>
      <c r="L12" s="5" t="n">
        <v>46273</v>
      </c>
      <c r="M12" s="6" t="s">
        <v>99</v>
      </c>
    </row>
    <row r="13" customFormat="false" ht="57.45" hidden="false" customHeight="false" outlineLevel="0" collapsed="false">
      <c r="A13" s="7" t="s">
        <v>27</v>
      </c>
      <c r="B13" s="7" t="s">
        <v>121</v>
      </c>
      <c r="C13" s="6" t="s">
        <v>124</v>
      </c>
      <c r="D13" s="6" t="s">
        <v>125</v>
      </c>
      <c r="E13" s="7" t="n">
        <v>5</v>
      </c>
      <c r="F13" s="10" t="s">
        <v>92</v>
      </c>
      <c r="G13" s="7" t="n">
        <v>5</v>
      </c>
      <c r="H13" s="7" t="n">
        <v>2</v>
      </c>
      <c r="I13" s="7" t="n">
        <v>1</v>
      </c>
      <c r="J13" s="6" t="s">
        <v>93</v>
      </c>
      <c r="K13" s="6" t="s">
        <v>98</v>
      </c>
      <c r="L13" s="5" t="n">
        <v>46275</v>
      </c>
      <c r="M13" s="6" t="s">
        <v>126</v>
      </c>
    </row>
    <row r="14" customFormat="false" ht="35.05" hidden="false" customHeight="false" outlineLevel="0" collapsed="false">
      <c r="A14" s="7" t="s">
        <v>28</v>
      </c>
      <c r="B14" s="7" t="s">
        <v>121</v>
      </c>
      <c r="C14" s="6" t="s">
        <v>127</v>
      </c>
      <c r="D14" s="6" t="s">
        <v>128</v>
      </c>
      <c r="E14" s="7" t="n">
        <v>8</v>
      </c>
      <c r="F14" s="10" t="s">
        <v>92</v>
      </c>
      <c r="G14" s="7" t="n">
        <v>5</v>
      </c>
      <c r="H14" s="7" t="n">
        <v>2</v>
      </c>
      <c r="I14" s="7" t="n">
        <v>1</v>
      </c>
      <c r="J14" s="6" t="s">
        <v>93</v>
      </c>
      <c r="K14" s="6" t="s">
        <v>98</v>
      </c>
      <c r="L14" s="5" t="n">
        <v>46273</v>
      </c>
      <c r="M14" s="6" t="s">
        <v>99</v>
      </c>
    </row>
    <row r="15" customFormat="false" ht="46.25" hidden="false" customHeight="false" outlineLevel="0" collapsed="false">
      <c r="A15" s="7" t="s">
        <v>29</v>
      </c>
      <c r="B15" s="7" t="s">
        <v>121</v>
      </c>
      <c r="C15" s="6" t="s">
        <v>129</v>
      </c>
      <c r="D15" s="6" t="s">
        <v>130</v>
      </c>
      <c r="E15" s="7" t="n">
        <v>3</v>
      </c>
      <c r="F15" s="10" t="s">
        <v>92</v>
      </c>
      <c r="G15" s="7" t="n">
        <v>5</v>
      </c>
      <c r="H15" s="7" t="n">
        <v>2</v>
      </c>
      <c r="I15" s="7" t="n">
        <v>1</v>
      </c>
      <c r="J15" s="6" t="s">
        <v>93</v>
      </c>
      <c r="K15" s="6" t="s">
        <v>98</v>
      </c>
      <c r="L15" s="5" t="n">
        <v>46285</v>
      </c>
      <c r="M15" s="6" t="s">
        <v>131</v>
      </c>
    </row>
    <row r="16" customFormat="false" ht="35.05" hidden="false" customHeight="false" outlineLevel="0" collapsed="false">
      <c r="A16" s="7" t="s">
        <v>19</v>
      </c>
      <c r="B16" s="7" t="s">
        <v>132</v>
      </c>
      <c r="C16" s="6" t="s">
        <v>133</v>
      </c>
      <c r="D16" s="6" t="s">
        <v>134</v>
      </c>
      <c r="E16" s="7" t="n">
        <v>5</v>
      </c>
      <c r="F16" s="10" t="s">
        <v>92</v>
      </c>
      <c r="G16" s="7" t="n">
        <v>5</v>
      </c>
      <c r="H16" s="7" t="n">
        <v>1</v>
      </c>
      <c r="I16" s="7" t="n">
        <v>1</v>
      </c>
      <c r="J16" s="6" t="s">
        <v>93</v>
      </c>
      <c r="K16" s="6" t="s">
        <v>94</v>
      </c>
      <c r="L16" s="5" t="n">
        <v>46275</v>
      </c>
      <c r="M16" s="6" t="s">
        <v>135</v>
      </c>
    </row>
    <row r="17" customFormat="false" ht="46.25" hidden="false" customHeight="false" outlineLevel="0" collapsed="false">
      <c r="A17" s="7" t="s">
        <v>20</v>
      </c>
      <c r="B17" s="7" t="s">
        <v>132</v>
      </c>
      <c r="C17" s="6" t="s">
        <v>136</v>
      </c>
      <c r="D17" s="6" t="s">
        <v>137</v>
      </c>
      <c r="E17" s="7" t="n">
        <v>5</v>
      </c>
      <c r="F17" s="10" t="s">
        <v>92</v>
      </c>
      <c r="G17" s="7" t="n">
        <v>4</v>
      </c>
      <c r="H17" s="7" t="n">
        <v>1</v>
      </c>
      <c r="I17" s="7" t="n">
        <v>1</v>
      </c>
      <c r="J17" s="6" t="s">
        <v>93</v>
      </c>
      <c r="K17" s="6" t="s">
        <v>94</v>
      </c>
      <c r="L17" s="5" t="n">
        <v>46275</v>
      </c>
      <c r="M17" s="6" t="s">
        <v>138</v>
      </c>
    </row>
    <row r="18" customFormat="false" ht="35.05" hidden="false" customHeight="false" outlineLevel="0" collapsed="false">
      <c r="A18" s="7" t="s">
        <v>30</v>
      </c>
      <c r="B18" s="7" t="s">
        <v>139</v>
      </c>
      <c r="C18" s="6" t="s">
        <v>140</v>
      </c>
      <c r="D18" s="6" t="s">
        <v>141</v>
      </c>
      <c r="E18" s="7" t="n">
        <v>5</v>
      </c>
      <c r="F18" s="10" t="s">
        <v>92</v>
      </c>
      <c r="G18" s="7" t="n">
        <v>5</v>
      </c>
      <c r="H18" s="7" t="n">
        <v>3</v>
      </c>
      <c r="I18" s="7" t="n">
        <v>1</v>
      </c>
      <c r="J18" s="6" t="s">
        <v>93</v>
      </c>
      <c r="K18" s="6" t="s">
        <v>98</v>
      </c>
      <c r="L18" s="5" t="n">
        <v>46282</v>
      </c>
      <c r="M18" s="6" t="s">
        <v>142</v>
      </c>
    </row>
    <row r="19" customFormat="false" ht="23.85" hidden="false" customHeight="false" outlineLevel="0" collapsed="false">
      <c r="A19" s="7" t="s">
        <v>31</v>
      </c>
      <c r="B19" s="7" t="s">
        <v>139</v>
      </c>
      <c r="C19" s="6" t="s">
        <v>143</v>
      </c>
      <c r="D19" s="6" t="s">
        <v>144</v>
      </c>
      <c r="E19" s="7" t="n">
        <v>3</v>
      </c>
      <c r="F19" s="10" t="s">
        <v>92</v>
      </c>
      <c r="G19" s="7" t="n">
        <v>4</v>
      </c>
      <c r="H19" s="7" t="n">
        <v>3</v>
      </c>
      <c r="I19" s="7" t="n">
        <v>1</v>
      </c>
      <c r="J19" s="6" t="s">
        <v>93</v>
      </c>
      <c r="K19" s="6" t="s">
        <v>98</v>
      </c>
      <c r="L19" s="5" t="n">
        <v>46282</v>
      </c>
      <c r="M19" s="6" t="s">
        <v>142</v>
      </c>
    </row>
    <row r="20" customFormat="false" ht="35.05" hidden="false" customHeight="false" outlineLevel="0" collapsed="false">
      <c r="A20" s="7" t="s">
        <v>32</v>
      </c>
      <c r="B20" s="7" t="s">
        <v>139</v>
      </c>
      <c r="C20" s="6" t="s">
        <v>145</v>
      </c>
      <c r="D20" s="6" t="s">
        <v>146</v>
      </c>
      <c r="E20" s="7" t="n">
        <v>5</v>
      </c>
      <c r="F20" s="10" t="s">
        <v>92</v>
      </c>
      <c r="G20" s="7" t="n">
        <v>5</v>
      </c>
      <c r="H20" s="7" t="n">
        <v>3</v>
      </c>
      <c r="I20" s="7" t="n">
        <v>1</v>
      </c>
      <c r="J20" s="6" t="s">
        <v>93</v>
      </c>
      <c r="K20" s="6" t="s">
        <v>98</v>
      </c>
      <c r="L20" s="5" t="n">
        <v>46282</v>
      </c>
      <c r="M20" s="6" t="s">
        <v>142</v>
      </c>
    </row>
    <row r="21" customFormat="false" ht="35.05" hidden="false" customHeight="false" outlineLevel="0" collapsed="false">
      <c r="A21" s="7" t="s">
        <v>33</v>
      </c>
      <c r="B21" s="7" t="s">
        <v>147</v>
      </c>
      <c r="C21" s="6" t="s">
        <v>148</v>
      </c>
      <c r="D21" s="6" t="s">
        <v>149</v>
      </c>
      <c r="E21" s="7" t="n">
        <v>8</v>
      </c>
      <c r="F21" s="10" t="s">
        <v>92</v>
      </c>
      <c r="G21" s="7" t="n">
        <v>5</v>
      </c>
      <c r="H21" s="7" t="n">
        <v>3</v>
      </c>
      <c r="I21" s="7" t="n">
        <v>1</v>
      </c>
      <c r="J21" s="6" t="s">
        <v>93</v>
      </c>
      <c r="K21" s="6" t="s">
        <v>98</v>
      </c>
      <c r="L21" s="5" t="n">
        <v>46285</v>
      </c>
      <c r="M21" s="6" t="s">
        <v>150</v>
      </c>
    </row>
    <row r="22" customFormat="false" ht="35.05" hidden="false" customHeight="false" outlineLevel="0" collapsed="false">
      <c r="A22" s="7" t="s">
        <v>49</v>
      </c>
      <c r="B22" s="7" t="s">
        <v>147</v>
      </c>
      <c r="C22" s="6" t="s">
        <v>151</v>
      </c>
      <c r="D22" s="6" t="s">
        <v>152</v>
      </c>
      <c r="E22" s="7" t="n">
        <v>5</v>
      </c>
      <c r="F22" s="10" t="s">
        <v>113</v>
      </c>
      <c r="G22" s="7" t="n">
        <v>4</v>
      </c>
      <c r="H22" s="7" t="n">
        <v>3</v>
      </c>
      <c r="I22" s="7" t="n">
        <v>3</v>
      </c>
      <c r="J22" s="6" t="s">
        <v>119</v>
      </c>
      <c r="K22" s="6" t="s">
        <v>114</v>
      </c>
      <c r="L22" s="5"/>
      <c r="M22" s="6" t="s">
        <v>153</v>
      </c>
    </row>
    <row r="23" customFormat="false" ht="35.05" hidden="false" customHeight="false" outlineLevel="0" collapsed="false">
      <c r="A23" s="7" t="s">
        <v>50</v>
      </c>
      <c r="B23" s="7" t="s">
        <v>147</v>
      </c>
      <c r="C23" s="6" t="s">
        <v>154</v>
      </c>
      <c r="D23" s="6" t="s">
        <v>155</v>
      </c>
      <c r="E23" s="7" t="n">
        <v>2</v>
      </c>
      <c r="F23" s="10" t="s">
        <v>113</v>
      </c>
      <c r="G23" s="7" t="n">
        <v>3</v>
      </c>
      <c r="H23" s="7" t="n">
        <v>3</v>
      </c>
      <c r="I23" s="7" t="n">
        <v>3</v>
      </c>
      <c r="J23" s="6" t="s">
        <v>156</v>
      </c>
      <c r="K23" s="6" t="s">
        <v>98</v>
      </c>
      <c r="L23" s="5"/>
      <c r="M23" s="6"/>
    </row>
    <row r="24" customFormat="false" ht="35.05" hidden="false" customHeight="false" outlineLevel="0" collapsed="false">
      <c r="A24" s="7" t="s">
        <v>34</v>
      </c>
      <c r="B24" s="7" t="s">
        <v>147</v>
      </c>
      <c r="C24" s="6" t="s">
        <v>157</v>
      </c>
      <c r="D24" s="6" t="s">
        <v>158</v>
      </c>
      <c r="E24" s="7" t="n">
        <v>2</v>
      </c>
      <c r="F24" s="10" t="s">
        <v>92</v>
      </c>
      <c r="G24" s="7" t="n">
        <v>4</v>
      </c>
      <c r="H24" s="7" t="n">
        <v>3</v>
      </c>
      <c r="I24" s="7" t="n">
        <v>1</v>
      </c>
      <c r="J24" s="6" t="s">
        <v>93</v>
      </c>
      <c r="K24" s="6" t="s">
        <v>98</v>
      </c>
      <c r="L24" s="5" t="n">
        <v>46285</v>
      </c>
      <c r="M24" s="6" t="s">
        <v>150</v>
      </c>
    </row>
    <row r="25" customFormat="false" ht="35.05" hidden="false" customHeight="false" outlineLevel="0" collapsed="false">
      <c r="A25" s="7" t="s">
        <v>54</v>
      </c>
      <c r="B25" s="7" t="s">
        <v>159</v>
      </c>
      <c r="C25" s="6" t="s">
        <v>160</v>
      </c>
      <c r="D25" s="6" t="s">
        <v>161</v>
      </c>
      <c r="E25" s="7" t="n">
        <v>5</v>
      </c>
      <c r="F25" s="10" t="s">
        <v>113</v>
      </c>
      <c r="G25" s="7" t="n">
        <v>4</v>
      </c>
      <c r="H25" s="7" t="n">
        <v>4</v>
      </c>
      <c r="I25" s="7" t="n">
        <v>3</v>
      </c>
      <c r="J25" s="6" t="s">
        <v>119</v>
      </c>
      <c r="K25" s="6" t="s">
        <v>114</v>
      </c>
      <c r="L25" s="5"/>
      <c r="M25" s="6" t="s">
        <v>162</v>
      </c>
    </row>
    <row r="26" customFormat="false" ht="35.05" hidden="false" customHeight="false" outlineLevel="0" collapsed="false">
      <c r="A26" s="7" t="s">
        <v>51</v>
      </c>
      <c r="B26" s="7" t="s">
        <v>116</v>
      </c>
      <c r="C26" s="6" t="s">
        <v>163</v>
      </c>
      <c r="D26" s="6" t="s">
        <v>164</v>
      </c>
      <c r="E26" s="7" t="n">
        <v>2</v>
      </c>
      <c r="F26" s="10" t="s">
        <v>92</v>
      </c>
      <c r="G26" s="7" t="n">
        <v>5</v>
      </c>
      <c r="H26" s="7" t="n">
        <v>3</v>
      </c>
      <c r="I26" s="7" t="n">
        <v>3</v>
      </c>
      <c r="J26" s="6" t="s">
        <v>156</v>
      </c>
      <c r="K26" s="6" t="s">
        <v>94</v>
      </c>
      <c r="L26" s="5"/>
      <c r="M26" s="6"/>
    </row>
    <row r="27" customFormat="false" ht="35.05" hidden="false" customHeight="false" outlineLevel="0" collapsed="false">
      <c r="A27" s="7" t="s">
        <v>52</v>
      </c>
      <c r="B27" s="7" t="s">
        <v>121</v>
      </c>
      <c r="C27" s="6" t="s">
        <v>165</v>
      </c>
      <c r="D27" s="6" t="s">
        <v>166</v>
      </c>
      <c r="E27" s="7" t="n">
        <v>3</v>
      </c>
      <c r="F27" s="10" t="s">
        <v>92</v>
      </c>
      <c r="G27" s="7" t="n">
        <v>5</v>
      </c>
      <c r="H27" s="7" t="n">
        <v>3</v>
      </c>
      <c r="I27" s="7" t="n">
        <v>3</v>
      </c>
      <c r="J27" s="6" t="s">
        <v>156</v>
      </c>
      <c r="K27" s="6" t="s">
        <v>98</v>
      </c>
      <c r="L27" s="5"/>
      <c r="M27" s="6"/>
    </row>
    <row r="28" customFormat="false" ht="35.05" hidden="false" customHeight="false" outlineLevel="0" collapsed="false">
      <c r="A28" s="7" t="s">
        <v>59</v>
      </c>
      <c r="B28" s="7" t="s">
        <v>159</v>
      </c>
      <c r="C28" s="6" t="s">
        <v>167</v>
      </c>
      <c r="D28" s="6" t="s">
        <v>168</v>
      </c>
      <c r="E28" s="7" t="n">
        <v>5</v>
      </c>
      <c r="F28" s="10" t="s">
        <v>92</v>
      </c>
      <c r="G28" s="7" t="n">
        <v>4</v>
      </c>
      <c r="H28" s="7" t="n">
        <v>4</v>
      </c>
      <c r="I28" s="7" t="n">
        <v>4</v>
      </c>
      <c r="J28" s="6" t="s">
        <v>156</v>
      </c>
      <c r="K28" s="6" t="s">
        <v>94</v>
      </c>
      <c r="L28" s="5"/>
      <c r="M28" s="6"/>
    </row>
    <row r="29" customFormat="false" ht="23.85" hidden="false" customHeight="false" outlineLevel="0" collapsed="false">
      <c r="A29" s="7" t="s">
        <v>53</v>
      </c>
      <c r="B29" s="7" t="s">
        <v>147</v>
      </c>
      <c r="C29" s="6" t="s">
        <v>169</v>
      </c>
      <c r="D29" s="6" t="s">
        <v>170</v>
      </c>
      <c r="E29" s="7" t="n">
        <v>5</v>
      </c>
      <c r="F29" s="10" t="s">
        <v>171</v>
      </c>
      <c r="G29" s="7" t="n">
        <v>3</v>
      </c>
      <c r="H29" s="7" t="n">
        <v>3</v>
      </c>
      <c r="I29" s="7" t="n">
        <v>3</v>
      </c>
      <c r="J29" s="6" t="s">
        <v>156</v>
      </c>
      <c r="K29" s="6" t="s">
        <v>114</v>
      </c>
      <c r="L29" s="5"/>
      <c r="M29" s="6"/>
    </row>
    <row r="30" customFormat="false" ht="23.85" hidden="false" customHeight="false" outlineLevel="0" collapsed="false">
      <c r="A30" s="7" t="s">
        <v>60</v>
      </c>
      <c r="B30" s="7" t="s">
        <v>159</v>
      </c>
      <c r="C30" s="6" t="s">
        <v>172</v>
      </c>
      <c r="D30" s="6" t="s">
        <v>173</v>
      </c>
      <c r="E30" s="7" t="n">
        <v>8</v>
      </c>
      <c r="F30" s="10" t="s">
        <v>171</v>
      </c>
      <c r="G30" s="7" t="n">
        <v>2</v>
      </c>
      <c r="H30" s="7" t="n">
        <v>4</v>
      </c>
      <c r="I30" s="7" t="n">
        <v>4</v>
      </c>
      <c r="J30" s="6" t="s">
        <v>174</v>
      </c>
      <c r="K30" s="6" t="s">
        <v>94</v>
      </c>
      <c r="L30" s="5"/>
      <c r="M30" s="6" t="s">
        <v>175</v>
      </c>
    </row>
    <row r="31" customFormat="false" ht="23.85" hidden="false" customHeight="false" outlineLevel="0" collapsed="false">
      <c r="A31" s="7" t="s">
        <v>42</v>
      </c>
      <c r="B31" s="7" t="s">
        <v>132</v>
      </c>
      <c r="C31" s="6" t="s">
        <v>176</v>
      </c>
      <c r="D31" s="6" t="s">
        <v>177</v>
      </c>
      <c r="E31" s="7" t="n">
        <v>3</v>
      </c>
      <c r="F31" s="10" t="s">
        <v>113</v>
      </c>
      <c r="G31" s="7" t="n">
        <v>4</v>
      </c>
      <c r="H31" s="7" t="n">
        <v>2</v>
      </c>
      <c r="I31" s="7" t="n">
        <v>2</v>
      </c>
      <c r="J31" s="6" t="s">
        <v>93</v>
      </c>
      <c r="K31" s="6" t="s">
        <v>114</v>
      </c>
      <c r="L31" s="5" t="n">
        <v>46307</v>
      </c>
      <c r="M31" s="6" t="s">
        <v>178</v>
      </c>
    </row>
    <row r="32" customFormat="false" ht="35.05" hidden="false" customHeight="false" outlineLevel="0" collapsed="false">
      <c r="A32" s="7" t="s">
        <v>43</v>
      </c>
      <c r="B32" s="7" t="s">
        <v>159</v>
      </c>
      <c r="C32" s="6" t="s">
        <v>179</v>
      </c>
      <c r="D32" s="6" t="s">
        <v>180</v>
      </c>
      <c r="E32" s="7" t="n">
        <v>3</v>
      </c>
      <c r="F32" s="10" t="s">
        <v>113</v>
      </c>
      <c r="G32" s="7" t="n">
        <v>3</v>
      </c>
      <c r="H32" s="7" t="n">
        <v>2</v>
      </c>
      <c r="I32" s="7" t="n">
        <v>2</v>
      </c>
      <c r="J32" s="6" t="s">
        <v>93</v>
      </c>
      <c r="K32" s="6" t="s">
        <v>114</v>
      </c>
      <c r="L32" s="5" t="n">
        <v>46304</v>
      </c>
      <c r="M32" s="6" t="s">
        <v>181</v>
      </c>
    </row>
    <row r="33" customFormat="false" ht="35.05" hidden="false" customHeight="false" outlineLevel="0" collapsed="false">
      <c r="A33" s="7" t="s">
        <v>44</v>
      </c>
      <c r="B33" s="7" t="s">
        <v>159</v>
      </c>
      <c r="C33" s="6" t="s">
        <v>182</v>
      </c>
      <c r="D33" s="6" t="s">
        <v>183</v>
      </c>
      <c r="E33" s="7" t="n">
        <v>3</v>
      </c>
      <c r="F33" s="10" t="s">
        <v>113</v>
      </c>
      <c r="G33" s="7" t="n">
        <v>3</v>
      </c>
      <c r="H33" s="7" t="n">
        <v>2</v>
      </c>
      <c r="I33" s="7" t="n">
        <v>2</v>
      </c>
      <c r="J33" s="6" t="s">
        <v>93</v>
      </c>
      <c r="K33" s="6" t="s">
        <v>94</v>
      </c>
      <c r="L33" s="5" t="n">
        <v>46304</v>
      </c>
      <c r="M33" s="6" t="s">
        <v>184</v>
      </c>
    </row>
    <row r="35" customFormat="false" ht="15" hidden="false" customHeight="false" outlineLevel="0" collapsed="false">
      <c r="C35" s="4" t="s">
        <v>185</v>
      </c>
      <c r="E35" s="11" t="n">
        <f aca="false">SUM(E5:E33)</f>
        <v>138</v>
      </c>
    </row>
    <row r="36" customFormat="false" ht="15" hidden="false" customHeight="false" outlineLevel="0" collapsed="false">
      <c r="C36" s="4" t="s">
        <v>186</v>
      </c>
      <c r="E36" s="11" t="n">
        <f aca="false">SUMIF(J5:J33,"Terminada*",E5:E33)</f>
        <v>100</v>
      </c>
    </row>
    <row r="37" customFormat="false" ht="15" hidden="false" customHeight="false" outlineLevel="0" collapsed="false">
      <c r="C37" s="4" t="s">
        <v>187</v>
      </c>
      <c r="E37" s="16" t="n">
        <f aca="false">IF(E35=0,0,E36/E35)</f>
        <v>0.72463768115942</v>
      </c>
    </row>
  </sheetData>
  <autoFilter ref="A4:M33"/>
  <conditionalFormatting sqref="J5:J33">
    <cfRule type="expression" priority="2" aboveAverage="0" equalAverage="0" bottom="0" percent="0" rank="0" text="" dxfId="0">
      <formula>ISNUMBER(SEARCH("Terminad",J5))</formula>
    </cfRule>
    <cfRule type="expression" priority="3" aboveAverage="0" equalAverage="0" bottom="0" percent="0" rank="0" text="" dxfId="0">
      <formula>ISNUMBER(SEARCH("Cerrado",J5))</formula>
    </cfRule>
    <cfRule type="expression" priority="4" aboveAverage="0" equalAverage="0" bottom="0" percent="0" rank="0" text="" dxfId="0">
      <formula>ISNUMBER(SEARCH("Completad",J5))</formula>
    </cfRule>
    <cfRule type="expression" priority="5" aboveAverage="0" equalAverage="0" bottom="0" percent="0" rank="0" text="" dxfId="0">
      <formula>ISNUMBER(SEARCH("Implementado",J5))</formula>
    </cfRule>
    <cfRule type="expression" priority="6" aboveAverage="0" equalAverage="0" bottom="0" percent="0" rank="0" text="" dxfId="0">
      <formula>ISNUMBER(SEARCH("Controlado",J5))</formula>
    </cfRule>
    <cfRule type="expression" priority="7" aboveAverage="0" equalAverage="0" bottom="0" percent="0" rank="0" text="" dxfId="1">
      <formula>ISNUMBER(SEARCH("En curso",J5))</formula>
    </cfRule>
    <cfRule type="expression" priority="8" aboveAverage="0" equalAverage="0" bottom="0" percent="0" rank="0" text="" dxfId="2">
      <formula>ISNUMBER(SEARCH("Abierto",J5))</formula>
    </cfRule>
    <cfRule type="expression" priority="9" aboveAverage="0" equalAverage="0" bottom="0" percent="0" rank="0" text="" dxfId="3">
      <formula>ISNUMBER(SEARCH("Pendiente",J5))</formula>
    </cfRule>
    <cfRule type="expression" priority="10" aboveAverage="0" equalAverage="0" bottom="0" percent="0" rank="0" text="" dxfId="3">
      <formula>ISNUMBER(SEARCH("No iniciad",J5))</formula>
    </cfRule>
    <cfRule type="expression" priority="11" aboveAverage="0" equalAverage="0" bottom="0" percent="0" rank="0" text="" dxfId="1">
      <formula>ISNUMBER(SEARCH("En revisión",J5))</formula>
    </cfRule>
    <cfRule type="expression" priority="12" aboveAverage="0" equalAverage="0" bottom="0" percent="0" rank="0" text="" dxfId="1">
      <formula>ISNUMBER(SEARCH("Activo",J5))</formula>
    </cfRule>
  </conditionalFormatting>
  <dataValidations count="2">
    <dataValidation allowBlank="true" errorStyle="stop" operator="between" showDropDown="false" showErrorMessage="false" showInputMessage="false" sqref="J5:J33" type="list">
      <formula1>"Terminada,Terminada con observación,En curso,Pendiente,No iniciada"</formula1>
      <formula2>0</formula2>
    </dataValidation>
    <dataValidation allowBlank="true" errorStyle="stop" operator="between" showDropDown="false" showErrorMessage="false" showInputMessage="false" sqref="F5:F33" type="list">
      <formula1>"Must,Should,Could,Won't"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2026-10-16T01:26:35Z</dcterms:created>
  <dc:creator>openpyxl</dc:creator>
  <dc:description/>
  <dc:language>en-US</dc:language>
  <cp:lastModifiedBy/>
  <dcterms:modified xsi:type="dcterms:W3CDTF">2026-10-16T01:26:35Z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