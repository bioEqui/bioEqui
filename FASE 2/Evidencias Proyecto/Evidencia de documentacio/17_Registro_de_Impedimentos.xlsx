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edimentos" sheetId="1" state="visible" r:id="rId3"/>
  </sheets>
  <definedNames>
    <definedName function="false" hidden="true" localSheetId="0" name="_xlnm._FilterDatabase" vbProcedure="false">Impedimentos!$A$4:$I$24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<sst xmlns="http://schemas.openxmlformats.org/spreadsheetml/2006/main" count="154" uniqueCount="101">
  <si>
    <t xml:space="preserve">Registro de impedimentos (impediment log)</t>
  </si>
  <si>
    <t xml:space="preserve">Impedimentos reales del proyecto. Los marcados como "Abierto" requieren acción en el Sprint 3.</t>
  </si>
  <si>
    <t xml:space="preserve">Celdas en amarillo: completar o verificar con información del equipo.</t>
  </si>
  <si>
    <t xml:space="preserve">ID</t>
  </si>
  <si>
    <t xml:space="preserve">Fecha detección</t>
  </si>
  <si>
    <t xml:space="preserve">Sprint</t>
  </si>
  <si>
    <t xml:space="preserve">Impedimento</t>
  </si>
  <si>
    <t xml:space="preserve">Impacto</t>
  </si>
  <si>
    <t xml:space="preserve">Acción</t>
  </si>
  <si>
    <t xml:space="preserve">Responsable</t>
  </si>
  <si>
    <t xml:space="preserve">Estado</t>
  </si>
  <si>
    <t xml:space="preserve">Fecha cierre</t>
  </si>
  <si>
    <t xml:space="preserve">IMP-01</t>
  </si>
  <si>
    <t xml:space="preserve">Los archivos del ISP tienen extensión .xls pero son páginas HTML en latin-1; Excel no los abre.</t>
  </si>
  <si>
    <t xml:space="preserve">Bloqueaba la ingesta del catálogo oficial.</t>
  </si>
  <si>
    <t xml:space="preserve">Leerlos con un lector de HTML.</t>
  </si>
  <si>
    <t xml:space="preserve">Diego Fuentes e Iván Fernández</t>
  </si>
  <si>
    <t xml:space="preserve">Cerrado</t>
  </si>
  <si>
    <t xml:space="preserve">IMP-02</t>
  </si>
  <si>
    <t xml:space="preserve">Sprint 1 (sin fecha exacta)</t>
  </si>
  <si>
    <t xml:space="preserve">Las fichas de Dr. Simi no traen siempre los mismos campos (productos con 9 datos y otros con 22).</t>
  </si>
  <si>
    <t xml:space="preserve">Datos mal asignados si se leen por posición.</t>
  </si>
  <si>
    <t xml:space="preserve">Buscar cada dato por nombre; si falta, extraerlo del nombre del producto.</t>
  </si>
  <si>
    <t xml:space="preserve">Diego Fuentes</t>
  </si>
  <si>
    <t xml:space="preserve">IMP-03</t>
  </si>
  <si>
    <t xml:space="preserve">El ISP asigna un mismo registro a varias concentraciones (levotiroxina 50, 75 y 100 mcg).</t>
  </si>
  <si>
    <t xml:space="preserve">La restricción UNIQUE hacía fallar la carga.</t>
  </si>
  <si>
    <t xml:space="preserve">Esquema v2: cada fila es una presentación y el control de duplicados va en el cargador. Observación: NOTAS.md indica quitar UNIQUE de registro_sanitario, pero init_v2.sql aún lo mantiene.</t>
  </si>
  <si>
    <t xml:space="preserve">Abierto</t>
  </si>
  <si>
    <t xml:space="preserve">IMP-04</t>
  </si>
  <si>
    <t xml:space="preserve">Farmacias publican registros sanitarios erróneos (clopidogrel con el registro F-3901 de una clorfenamina; 9 valores sin formato de registro).</t>
  </si>
  <si>
    <t xml:space="preserve">Se agrupaban medicamentos distintos.</t>
  </si>
  <si>
    <t xml:space="preserve">Validación de formato y de similitud de nombre; vinculaciones dudosas apartadas.</t>
  </si>
  <si>
    <t xml:space="preserve">IMP-05</t>
  </si>
  <si>
    <t xml:space="preserve">96 productos declaran menos principios activos de los que indica su nombre (rosuvastatina + ezetimiba agrupada con rosuvastatina).</t>
  </si>
  <si>
    <t xml:space="preserve">Comparaciones incorrectas.</t>
  </si>
  <si>
    <t xml:space="preserve">Marcar composicion_incompleta y excluirlos de la agrupación.</t>
  </si>
  <si>
    <t xml:space="preserve">IMP-06</t>
  </si>
  <si>
    <t xml:space="preserve">Cruz Verde no publica registro sanitario ni principio activo como datos separados y su API exige sesión.</t>
  </si>
  <si>
    <t xml:space="preserve">Sin vinculación directa con el ISP.</t>
  </si>
  <si>
    <t xml:space="preserve">Identificar el principio activo en el nombre con la lista del ISP; mostrar sus datos como "según la farmacia".</t>
  </si>
  <si>
    <t xml:space="preserve">IMP-07</t>
  </si>
  <si>
    <t xml:space="preserve">El robots.txt de Ahumada prohíbe su paginación normal; la primera descarga tardó cerca de 2 horas.</t>
  </si>
  <si>
    <t xml:space="preserve">Riesgo de incumplimiento y tiempos altos.</t>
  </si>
  <si>
    <t xml:space="preserve">Usar un parámetro de paginación permitido y caché de fichas.</t>
  </si>
  <si>
    <t xml:space="preserve">IMP-08</t>
  </si>
  <si>
    <t xml:space="preserve">Salcobrand carga sus datos con programas en el navegador y su robots.txt prohíbe la ruta donde están.</t>
  </si>
  <si>
    <t xml:space="preserve">No se puede integrar respetando sus reglas.</t>
  </si>
  <si>
    <t xml:space="preserve">Descartar la fuente y documentarlo.</t>
  </si>
  <si>
    <t xml:space="preserve">Mismo sprint</t>
  </si>
  <si>
    <t xml:space="preserve">IMP-09</t>
  </si>
  <si>
    <t xml:space="preserve">El buscador del ISP está prohibido por su robots.txt.</t>
  </si>
  <si>
    <t xml:space="preserve">No se puede consultar en línea.</t>
  </si>
  <si>
    <t xml:space="preserve">Usar los listados que el ISP publica como datos abiertos.</t>
  </si>
  <si>
    <t xml:space="preserve">IMP-10</t>
  </si>
  <si>
    <t xml:space="preserve">Un error del cargador borró el historial de precios de un día.</t>
  </si>
  <si>
    <t xml:space="preserve">Pérdida de datos de la serie.</t>
  </si>
  <si>
    <t xml:space="preserve">Reprocesar desde la capa bronce, sin volver a descargar.</t>
  </si>
  <si>
    <t xml:space="preserve">IMP-11</t>
  </si>
  <si>
    <t xml:space="preserve">El sistema no reconocía el tamaño de envase en ciertos nombres.</t>
  </si>
  <si>
    <t xml:space="preserve">Productos fuera de los grupos comparables.</t>
  </si>
  <si>
    <t xml:space="preserve">Corregir la extracción y reprocesar desde bronce.</t>
  </si>
  <si>
    <t xml:space="preserve">IMP-12</t>
  </si>
  <si>
    <t xml:space="preserve">Sprint 2 (sin fecha exacta)</t>
  </si>
  <si>
    <t xml:space="preserve">Cruz Verde responde 401 cuando caduca la sesión. La solución aplicada usa una cookie del sistema de protección del sitio y un User-Agent de Chrome, y ambos están escritos en el código público.</t>
  </si>
  <si>
    <t xml:space="preserve">Riesgo legal y ético (puede considerarse sortear una medida de seguridad) y exposición de credenciales.</t>
  </si>
  <si>
    <t xml:space="preserve">Retirar la cookie del repositorio, volver a identificarse como proyecto académico y decidir con el docente si la fuente se mantiene, se deja manual o se excluye.</t>
  </si>
  <si>
    <t xml:space="preserve">IMP-13</t>
  </si>
  <si>
    <t xml:space="preserve">El traspaso del código de develop a main quedó incompleto.</t>
  </si>
  <si>
    <t xml:space="preserve">main sin API, cruce ni base de datos.</t>
  </si>
  <si>
    <t xml:space="preserve">Rehacer el traspaso completo y fusionar por pull request.</t>
  </si>
  <si>
    <t xml:space="preserve">IMP-14</t>
  </si>
  <si>
    <t xml:space="preserve">El volumen de Docker conservaba rutas antiguas y no aplicaba init_v2.sql.</t>
  </si>
  <si>
    <t xml:space="preserve">La base no levantaba.</t>
  </si>
  <si>
    <t xml:space="preserve">Eliminar el contenedor y el volumen y recrearlos.</t>
  </si>
  <si>
    <t xml:space="preserve">IMP-15</t>
  </si>
  <si>
    <t xml:space="preserve">La API fallaba por la dependencia del driver de PostgreSQL en el entorno virtual.</t>
  </si>
  <si>
    <t xml:space="preserve">API sin conexión a la base.</t>
  </si>
  <si>
    <t xml:space="preserve">Reinstalar dependencias. Pendiente: unificar requirements.txt (psycopg2-binary) con el README (psycopg[binary]).</t>
  </si>
  <si>
    <t xml:space="preserve">IMP-16</t>
  </si>
  <si>
    <t xml:space="preserve">El extractor de Profar pagina con ?p=, que su robots.txt prohíbe, y desde el 01-10 descarga 390 productos en vez de 1.950.</t>
  </si>
  <si>
    <t xml:space="preserve">Incumplimiento de la regla del proyecto y datos incompletos.</t>
  </si>
  <si>
    <t xml:space="preserve">Recorrer el catálogo con el sitemap.xml que el sitio publica y revisar el tope de páginas.</t>
  </si>
  <si>
    <t xml:space="preserve">Iván Fernández</t>
  </si>
  <si>
    <t xml:space="preserve">IMP-17</t>
  </si>
  <si>
    <t xml:space="preserve">La contraseña de la base está en docker-compose.yml, que se versiona.</t>
  </si>
  <si>
    <t xml:space="preserve">Credencial expuesta en repositorio público.</t>
  </si>
  <si>
    <t xml:space="preserve">Moverla a .env (HU22).</t>
  </si>
  <si>
    <t xml:space="preserve">IMP-18</t>
  </si>
  <si>
    <t xml:space="preserve">Los JSON de bronce se versionan porque el .gitignore apunta a data/ en la raíz y el código se movió a Desarrollo_Proyecto.</t>
  </si>
  <si>
    <t xml:space="preserve">Repositorio pesado (cientos de miles de líneas por muestreo).</t>
  </si>
  <si>
    <t xml:space="preserve">Actualizar las rutas del .gitignore.</t>
  </si>
  <si>
    <t xml:space="preserve">IMP-19</t>
  </si>
  <si>
    <t xml:space="preserve">actualizar.py no quedó versionado tras la reorganización.</t>
  </si>
  <si>
    <t xml:space="preserve">No se puede automatizar desde el repositorio.</t>
  </si>
  <si>
    <t xml:space="preserve">Versionarlo en Desarrollo_Proyecto (HU21).</t>
  </si>
  <si>
    <t xml:space="preserve">IMP-20</t>
  </si>
  <si>
    <t xml:space="preserve">Las tarjetas de productos combinados muestran una sola dosis ("Ibuprofeno Paracetamol 300 mg").</t>
  </si>
  <si>
    <t xml:space="preserve">Texto engañoso para el usuario.</t>
  </si>
  <si>
    <t xml:space="preserve">Mostrar la dosis de cada principio activo (HU19).</t>
  </si>
  <si>
    <t xml:space="preserve">Impedimentos abiertos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</si>
</sst>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\-yyyy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55"/>
    <col collapsed="false" customWidth="true" hidden="false" outlineLevel="0" max="5" min="5" style="0" width="32"/>
    <col collapsed="false" customWidth="true" hidden="false" outlineLevel="0" max="6" min="6" style="0" width="50"/>
    <col collapsed="false" customWidth="true" hidden="false" outlineLevel="0" max="7" min="7" style="0" width="22"/>
    <col collapsed="false" customWidth="true" hidden="false" outlineLevel="0" max="8" min="8" style="0" width="10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95.5" hidden="false" customHeight="false" outlineLevel="0" collapsed="false">
      <c r="A3" s="3" t="s">
        <v>2</v>
      </c>
    </row>
    <row r="4" customFormat="false" ht="30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</row>
    <row r="5" customFormat="false" ht="23.85" hidden="false" customHeight="false" outlineLevel="0" collapsed="false">
      <c r="A5" s="5" t="s">
        <v>12</v>
      </c>
      <c r="B5" s="6" t="n">
        <v>46272</v>
      </c>
      <c r="C5" s="5" t="n">
        <v>1</v>
      </c>
      <c r="D5" s="5" t="s">
        <v>13</v>
      </c>
      <c r="E5" s="5" t="s">
        <v>14</v>
      </c>
      <c r="F5" s="5" t="s">
        <v>15</v>
      </c>
      <c r="G5" s="5" t="s">
        <v>16</v>
      </c>
      <c r="H5" s="5" t="s">
        <v>17</v>
      </c>
      <c r="I5" s="6" t="n">
        <v>46273</v>
      </c>
    </row>
    <row r="6" customFormat="false" ht="23.85" hidden="false" customHeight="false" outlineLevel="0" collapsed="false">
      <c r="A6" s="5" t="s">
        <v>18</v>
      </c>
      <c r="B6" s="6" t="s">
        <v>19</v>
      </c>
      <c r="C6" s="5" t="n">
        <v>1</v>
      </c>
      <c r="D6" s="5" t="s">
        <v>20</v>
      </c>
      <c r="E6" s="5" t="s">
        <v>21</v>
      </c>
      <c r="F6" s="5" t="s">
        <v>22</v>
      </c>
      <c r="G6" s="5" t="s">
        <v>23</v>
      </c>
      <c r="H6" s="5" t="s">
        <v>17</v>
      </c>
      <c r="I6" s="6" t="n">
        <v>46273</v>
      </c>
    </row>
    <row r="7" customFormat="false" ht="46.25" hidden="false" customHeight="false" outlineLevel="0" collapsed="false">
      <c r="A7" s="5" t="s">
        <v>24</v>
      </c>
      <c r="B7" s="6" t="s">
        <v>19</v>
      </c>
      <c r="C7" s="5" t="n">
        <v>1</v>
      </c>
      <c r="D7" s="5" t="s">
        <v>25</v>
      </c>
      <c r="E7" s="5" t="s">
        <v>26</v>
      </c>
      <c r="F7" s="5" t="s">
        <v>27</v>
      </c>
      <c r="G7" s="5" t="s">
        <v>23</v>
      </c>
      <c r="H7" s="5" t="s">
        <v>28</v>
      </c>
      <c r="I7" s="6"/>
    </row>
    <row r="8" customFormat="false" ht="35.05" hidden="false" customHeight="false" outlineLevel="0" collapsed="false">
      <c r="A8" s="5" t="s">
        <v>29</v>
      </c>
      <c r="B8" s="6" t="s">
        <v>19</v>
      </c>
      <c r="C8" s="5" t="n">
        <v>1</v>
      </c>
      <c r="D8" s="5" t="s">
        <v>30</v>
      </c>
      <c r="E8" s="5" t="s">
        <v>31</v>
      </c>
      <c r="F8" s="5" t="s">
        <v>32</v>
      </c>
      <c r="G8" s="5" t="s">
        <v>23</v>
      </c>
      <c r="H8" s="5" t="s">
        <v>17</v>
      </c>
      <c r="I8" s="6" t="n">
        <v>46275</v>
      </c>
    </row>
    <row r="9" customFormat="false" ht="23.85" hidden="false" customHeight="false" outlineLevel="0" collapsed="false">
      <c r="A9" s="5" t="s">
        <v>33</v>
      </c>
      <c r="B9" s="6" t="s">
        <v>19</v>
      </c>
      <c r="C9" s="5" t="n">
        <v>1</v>
      </c>
      <c r="D9" s="5" t="s">
        <v>34</v>
      </c>
      <c r="E9" s="5" t="s">
        <v>35</v>
      </c>
      <c r="F9" s="5" t="s">
        <v>36</v>
      </c>
      <c r="G9" s="5" t="s">
        <v>23</v>
      </c>
      <c r="H9" s="5" t="s">
        <v>17</v>
      </c>
      <c r="I9" s="6" t="n">
        <v>46275</v>
      </c>
    </row>
    <row r="10" customFormat="false" ht="23.85" hidden="false" customHeight="false" outlineLevel="0" collapsed="false">
      <c r="A10" s="5" t="s">
        <v>37</v>
      </c>
      <c r="B10" s="6" t="n">
        <v>46273</v>
      </c>
      <c r="C10" s="5" t="n">
        <v>1</v>
      </c>
      <c r="D10" s="5" t="s">
        <v>38</v>
      </c>
      <c r="E10" s="5" t="s">
        <v>39</v>
      </c>
      <c r="F10" s="5" t="s">
        <v>40</v>
      </c>
      <c r="G10" s="5" t="s">
        <v>16</v>
      </c>
      <c r="H10" s="5" t="s">
        <v>28</v>
      </c>
      <c r="I10" s="6"/>
    </row>
    <row r="11" customFormat="false" ht="23.85" hidden="false" customHeight="false" outlineLevel="0" collapsed="false">
      <c r="A11" s="5" t="s">
        <v>41</v>
      </c>
      <c r="B11" s="6" t="n">
        <v>46286</v>
      </c>
      <c r="C11" s="5" t="n">
        <v>1</v>
      </c>
      <c r="D11" s="5" t="s">
        <v>42</v>
      </c>
      <c r="E11" s="5" t="s">
        <v>43</v>
      </c>
      <c r="F11" s="5" t="s">
        <v>44</v>
      </c>
      <c r="G11" s="5" t="s">
        <v>23</v>
      </c>
      <c r="H11" s="5" t="s">
        <v>17</v>
      </c>
      <c r="I11" s="6" t="n">
        <v>46286</v>
      </c>
    </row>
    <row r="12" customFormat="false" ht="23.85" hidden="false" customHeight="false" outlineLevel="0" collapsed="false">
      <c r="A12" s="5" t="s">
        <v>45</v>
      </c>
      <c r="B12" s="6" t="s">
        <v>19</v>
      </c>
      <c r="C12" s="5" t="n">
        <v>1</v>
      </c>
      <c r="D12" s="5" t="s">
        <v>46</v>
      </c>
      <c r="E12" s="5" t="s">
        <v>47</v>
      </c>
      <c r="F12" s="5" t="s">
        <v>48</v>
      </c>
      <c r="G12" s="5" t="s">
        <v>16</v>
      </c>
      <c r="H12" s="5" t="s">
        <v>17</v>
      </c>
      <c r="I12" s="6" t="s">
        <v>49</v>
      </c>
    </row>
    <row r="13" customFormat="false" ht="23.85" hidden="false" customHeight="false" outlineLevel="0" collapsed="false">
      <c r="A13" s="5" t="s">
        <v>50</v>
      </c>
      <c r="B13" s="6" t="s">
        <v>19</v>
      </c>
      <c r="C13" s="5" t="n">
        <v>1</v>
      </c>
      <c r="D13" s="5" t="s">
        <v>51</v>
      </c>
      <c r="E13" s="5" t="s">
        <v>52</v>
      </c>
      <c r="F13" s="5" t="s">
        <v>53</v>
      </c>
      <c r="G13" s="5" t="s">
        <v>16</v>
      </c>
      <c r="H13" s="5" t="s">
        <v>17</v>
      </c>
      <c r="I13" s="6" t="s">
        <v>49</v>
      </c>
    </row>
    <row r="14" customFormat="false" ht="23.85" hidden="false" customHeight="false" outlineLevel="0" collapsed="false">
      <c r="A14" s="5" t="s">
        <v>54</v>
      </c>
      <c r="B14" s="6" t="s">
        <v>19</v>
      </c>
      <c r="C14" s="5" t="n">
        <v>1</v>
      </c>
      <c r="D14" s="5" t="s">
        <v>55</v>
      </c>
      <c r="E14" s="5" t="s">
        <v>56</v>
      </c>
      <c r="F14" s="5" t="s">
        <v>57</v>
      </c>
      <c r="G14" s="5" t="s">
        <v>23</v>
      </c>
      <c r="H14" s="5" t="s">
        <v>17</v>
      </c>
      <c r="I14" s="6" t="s">
        <v>49</v>
      </c>
    </row>
    <row r="15" customFormat="false" ht="23.85" hidden="false" customHeight="false" outlineLevel="0" collapsed="false">
      <c r="A15" s="5" t="s">
        <v>58</v>
      </c>
      <c r="B15" s="6" t="s">
        <v>19</v>
      </c>
      <c r="C15" s="5" t="n">
        <v>1</v>
      </c>
      <c r="D15" s="5" t="s">
        <v>59</v>
      </c>
      <c r="E15" s="5" t="s">
        <v>60</v>
      </c>
      <c r="F15" s="5" t="s">
        <v>61</v>
      </c>
      <c r="G15" s="5" t="s">
        <v>23</v>
      </c>
      <c r="H15" s="5" t="s">
        <v>17</v>
      </c>
      <c r="I15" s="6" t="s">
        <v>49</v>
      </c>
    </row>
    <row r="16" customFormat="false" ht="46.25" hidden="false" customHeight="false" outlineLevel="0" collapsed="false">
      <c r="A16" s="5" t="s">
        <v>62</v>
      </c>
      <c r="B16" s="6" t="s">
        <v>63</v>
      </c>
      <c r="C16" s="5" t="n">
        <v>2</v>
      </c>
      <c r="D16" s="5" t="s">
        <v>64</v>
      </c>
      <c r="E16" s="5" t="s">
        <v>65</v>
      </c>
      <c r="F16" s="5" t="s">
        <v>66</v>
      </c>
      <c r="G16" s="5" t="s">
        <v>16</v>
      </c>
      <c r="H16" s="5" t="s">
        <v>28</v>
      </c>
      <c r="I16" s="6"/>
    </row>
    <row r="17" customFormat="false" ht="23.85" hidden="false" customHeight="false" outlineLevel="0" collapsed="false">
      <c r="A17" s="5" t="s">
        <v>67</v>
      </c>
      <c r="B17" s="6" t="n">
        <v>46290</v>
      </c>
      <c r="C17" s="5" t="n">
        <v>1</v>
      </c>
      <c r="D17" s="5" t="s">
        <v>68</v>
      </c>
      <c r="E17" s="5" t="s">
        <v>69</v>
      </c>
      <c r="F17" s="5" t="s">
        <v>70</v>
      </c>
      <c r="G17" s="5" t="s">
        <v>16</v>
      </c>
      <c r="H17" s="5" t="s">
        <v>17</v>
      </c>
      <c r="I17" s="6" t="n">
        <v>46304</v>
      </c>
    </row>
    <row r="18" customFormat="false" ht="23.85" hidden="false" customHeight="false" outlineLevel="0" collapsed="false">
      <c r="A18" s="5" t="s">
        <v>71</v>
      </c>
      <c r="B18" s="6" t="s">
        <v>63</v>
      </c>
      <c r="C18" s="5" t="n">
        <v>2</v>
      </c>
      <c r="D18" s="5" t="s">
        <v>72</v>
      </c>
      <c r="E18" s="5" t="s">
        <v>73</v>
      </c>
      <c r="F18" s="5" t="s">
        <v>74</v>
      </c>
      <c r="G18" s="5" t="s">
        <v>16</v>
      </c>
      <c r="H18" s="5" t="s">
        <v>17</v>
      </c>
      <c r="I18" s="6" t="s">
        <v>49</v>
      </c>
    </row>
    <row r="19" customFormat="false" ht="23.85" hidden="false" customHeight="false" outlineLevel="0" collapsed="false">
      <c r="A19" s="5" t="s">
        <v>75</v>
      </c>
      <c r="B19" s="6" t="s">
        <v>63</v>
      </c>
      <c r="C19" s="5" t="n">
        <v>2</v>
      </c>
      <c r="D19" s="5" t="s">
        <v>76</v>
      </c>
      <c r="E19" s="5" t="s">
        <v>77</v>
      </c>
      <c r="F19" s="5" t="s">
        <v>78</v>
      </c>
      <c r="G19" s="5" t="s">
        <v>16</v>
      </c>
      <c r="H19" s="5" t="s">
        <v>17</v>
      </c>
      <c r="I19" s="6" t="s">
        <v>49</v>
      </c>
    </row>
    <row r="20" customFormat="false" ht="23.85" hidden="false" customHeight="false" outlineLevel="0" collapsed="false">
      <c r="A20" s="5" t="s">
        <v>79</v>
      </c>
      <c r="B20" s="6" t="n">
        <v>46296</v>
      </c>
      <c r="C20" s="5" t="n">
        <v>2</v>
      </c>
      <c r="D20" s="5" t="s">
        <v>80</v>
      </c>
      <c r="E20" s="5" t="s">
        <v>81</v>
      </c>
      <c r="F20" s="5" t="s">
        <v>82</v>
      </c>
      <c r="G20" s="5" t="s">
        <v>83</v>
      </c>
      <c r="H20" s="5" t="s">
        <v>28</v>
      </c>
      <c r="I20" s="6"/>
    </row>
    <row r="21" customFormat="false" ht="23.85" hidden="false" customHeight="false" outlineLevel="0" collapsed="false">
      <c r="A21" s="5" t="s">
        <v>84</v>
      </c>
      <c r="B21" s="6" t="s">
        <v>63</v>
      </c>
      <c r="C21" s="5" t="n">
        <v>2</v>
      </c>
      <c r="D21" s="5" t="s">
        <v>85</v>
      </c>
      <c r="E21" s="5" t="s">
        <v>86</v>
      </c>
      <c r="F21" s="5" t="s">
        <v>87</v>
      </c>
      <c r="G21" s="5" t="s">
        <v>16</v>
      </c>
      <c r="H21" s="5" t="s">
        <v>28</v>
      </c>
      <c r="I21" s="6"/>
    </row>
    <row r="22" customFormat="false" ht="23.85" hidden="false" customHeight="false" outlineLevel="0" collapsed="false">
      <c r="A22" s="5" t="s">
        <v>88</v>
      </c>
      <c r="B22" s="6" t="s">
        <v>63</v>
      </c>
      <c r="C22" s="5" t="n">
        <v>2</v>
      </c>
      <c r="D22" s="5" t="s">
        <v>89</v>
      </c>
      <c r="E22" s="5" t="s">
        <v>90</v>
      </c>
      <c r="F22" s="5" t="s">
        <v>91</v>
      </c>
      <c r="G22" s="5" t="s">
        <v>83</v>
      </c>
      <c r="H22" s="5" t="s">
        <v>28</v>
      </c>
      <c r="I22" s="6"/>
    </row>
    <row r="23" customFormat="false" ht="23.85" hidden="false" customHeight="false" outlineLevel="0" collapsed="false">
      <c r="A23" s="5" t="s">
        <v>92</v>
      </c>
      <c r="B23" s="6" t="s">
        <v>63</v>
      </c>
      <c r="C23" s="5" t="n">
        <v>2</v>
      </c>
      <c r="D23" s="5" t="s">
        <v>93</v>
      </c>
      <c r="E23" s="5" t="s">
        <v>94</v>
      </c>
      <c r="F23" s="5" t="s">
        <v>95</v>
      </c>
      <c r="G23" s="5" t="s">
        <v>83</v>
      </c>
      <c r="H23" s="5" t="s">
        <v>28</v>
      </c>
      <c r="I23" s="6"/>
    </row>
    <row r="24" customFormat="false" ht="23.85" hidden="false" customHeight="false" outlineLevel="0" collapsed="false">
      <c r="A24" s="5" t="s">
        <v>96</v>
      </c>
      <c r="B24" s="6" t="s">
        <v>19</v>
      </c>
      <c r="C24" s="5" t="n">
        <v>1</v>
      </c>
      <c r="D24" s="5" t="s">
        <v>97</v>
      </c>
      <c r="E24" s="5" t="s">
        <v>98</v>
      </c>
      <c r="F24" s="5" t="s">
        <v>99</v>
      </c>
      <c r="G24" s="5" t="s">
        <v>23</v>
      </c>
      <c r="H24" s="5" t="s">
        <v>28</v>
      </c>
      <c r="I24" s="6"/>
    </row>
    <row r="26" customFormat="false" ht="15" hidden="false" customHeight="false" outlineLevel="0" collapsed="false">
      <c r="D26" s="7" t="s">
        <v>100</v>
      </c>
      <c r="E26" s="8" t="n">
        <f aca="false">COUNTIF(H5:H24,"Abierto")</f>
        <v>8</v>
      </c>
    </row>
  </sheetData>
  <autoFilter ref="A4:I24"/>
  <conditionalFormatting sqref="H5:H24">
    <cfRule type="expression" priority="2" aboveAverage="0" equalAverage="0" bottom="0" percent="0" rank="0" text="" dxfId="6">
      <formula>ISNUMBER(SEARCH("Terminad",H5))</formula>
    </cfRule>
    <cfRule type="expression" priority="3" aboveAverage="0" equalAverage="0" bottom="0" percent="0" rank="0" text="" dxfId="6">
      <formula>ISNUMBER(SEARCH("Cerrado",H5))</formula>
    </cfRule>
    <cfRule type="expression" priority="4" aboveAverage="0" equalAverage="0" bottom="0" percent="0" rank="0" text="" dxfId="6">
      <formula>ISNUMBER(SEARCH("Completad",H5))</formula>
    </cfRule>
    <cfRule type="expression" priority="5" aboveAverage="0" equalAverage="0" bottom="0" percent="0" rank="0" text="" dxfId="6">
      <formula>ISNUMBER(SEARCH("Implementado",H5))</formula>
    </cfRule>
    <cfRule type="expression" priority="6" aboveAverage="0" equalAverage="0" bottom="0" percent="0" rank="0" text="" dxfId="6">
      <formula>ISNUMBER(SEARCH("Controlado",H5))</formula>
    </cfRule>
    <cfRule type="expression" priority="7" aboveAverage="0" equalAverage="0" bottom="0" percent="0" rank="0" text="" dxfId="7">
      <formula>ISNUMBER(SEARCH("En curso",H5))</formula>
    </cfRule>
    <cfRule type="expression" priority="8" aboveAverage="0" equalAverage="0" bottom="0" percent="0" rank="0" text="" dxfId="8">
      <formula>ISNUMBER(SEARCH("Abierto",H5))</formula>
    </cfRule>
    <cfRule type="expression" priority="9" aboveAverage="0" equalAverage="0" bottom="0" percent="0" rank="0" text="" dxfId="9">
      <formula>ISNUMBER(SEARCH("Pendiente",H5))</formula>
    </cfRule>
    <cfRule type="expression" priority="10" aboveAverage="0" equalAverage="0" bottom="0" percent="0" rank="0" text="" dxfId="9">
      <formula>ISNUMBER(SEARCH("No iniciad",H5))</formula>
    </cfRule>
    <cfRule type="expression" priority="11" aboveAverage="0" equalAverage="0" bottom="0" percent="0" rank="0" text="" dxfId="7">
      <formula>ISNUMBER(SEARCH("En revisión",H5))</formula>
    </cfRule>
    <cfRule type="expression" priority="12" aboveAverage="0" equalAverage="0" bottom="0" percent="0" rank="0" text="" dxfId="7">
      <formula>ISNUMBER(SEARCH("Activo",H5))</formula>
    </cfRule>
  </conditionalFormatting>
  <dataValidations count="1">
    <dataValidation allowBlank="true" errorStyle="stop" operator="between" showDropDown="false" showErrorMessage="false" showInputMessage="false" sqref="H5:H34" type="list">
      <formula1>"Abierto,En curso,Cerrado"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2026-10-16T01:26:39Z</dcterms:created>
  <dc:creator>openpyxl</dc:creator>
  <dc:description/>
  <dc:language>en-US</dc:language>
  <cp:lastModifiedBy/>
  <dcterms:modified xsi:type="dcterms:W3CDTF">2026-10-16T01:26:39Z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